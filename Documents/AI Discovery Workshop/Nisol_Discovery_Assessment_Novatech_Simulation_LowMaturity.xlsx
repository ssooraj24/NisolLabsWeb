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Nisol-Labs\Code\Anti-Gravity-Code\Documents\AI Discovery Workshop\"/>
    </mc:Choice>
  </mc:AlternateContent>
  <xr:revisionPtr revIDLastSave="0" documentId="13_ncr:1_{FA3A08AD-18BB-47EF-99FC-43C9550F222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Executive Summary" sheetId="1" r:id="rId1"/>
    <sheet name="Nisol Discovery Assessment" sheetId="2" r:id="rId2"/>
    <sheet name="Nisol Discovery Assessment1" sheetId="3" r:id="rId3"/>
    <sheet name="Nisol Studio Roadma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8" i="1" l="1"/>
  <c r="D28" i="1" s="1"/>
  <c r="B28" i="1"/>
  <c r="C27" i="1"/>
  <c r="D27" i="1" s="1"/>
  <c r="C26" i="1"/>
  <c r="D26" i="1" s="1"/>
  <c r="C25" i="1"/>
  <c r="D25" i="1" s="1"/>
  <c r="C24" i="1"/>
  <c r="D24" i="1" s="1"/>
  <c r="C23" i="1"/>
  <c r="D23" i="1" s="1"/>
  <c r="C22" i="1"/>
  <c r="D22" i="1" s="1"/>
  <c r="C21" i="1"/>
  <c r="D21" i="1" s="1"/>
  <c r="C20" i="1"/>
  <c r="D20" i="1" s="1"/>
  <c r="C19" i="1"/>
  <c r="D19" i="1" s="1"/>
  <c r="C18" i="1"/>
  <c r="D18" i="1" s="1"/>
  <c r="C17" i="1"/>
  <c r="D17" i="1" s="1"/>
  <c r="C16" i="1"/>
  <c r="D16" i="1" s="1"/>
  <c r="C15" i="1"/>
  <c r="D15" i="1" s="1"/>
  <c r="C14" i="1"/>
  <c r="D14" i="1" s="1"/>
  <c r="C13" i="1"/>
  <c r="D13" i="1" s="1"/>
</calcChain>
</file>

<file path=xl/sharedStrings.xml><?xml version="1.0" encoding="utf-8"?>
<sst xmlns="http://schemas.openxmlformats.org/spreadsheetml/2006/main" count="438" uniqueCount="366">
  <si>
    <t>Nisol Discovery Module — Enterprise AI Capabilities Assessment</t>
  </si>
  <si>
    <t>Baseline Assessment Profile: Low AI Maturity Target (SME IT Services)</t>
  </si>
  <si>
    <t>Company Profile Overview</t>
  </si>
  <si>
    <t>Company Name:</t>
  </si>
  <si>
    <t>Novatech Systems Ltd.</t>
  </si>
  <si>
    <t>Headquarters:</t>
  </si>
  <si>
    <t>Pune, India</t>
  </si>
  <si>
    <t>Company Size:</t>
  </si>
  <si>
    <t>35 Employees</t>
  </si>
  <si>
    <t>Primary Domain:</t>
  </si>
  <si>
    <t>Custom Web &amp; Mobile IT Services</t>
  </si>
  <si>
    <t>Annual Revenue:</t>
  </si>
  <si>
    <t>~USD $3,500,000 ARR</t>
  </si>
  <si>
    <t>Target Maturity:</t>
  </si>
  <si>
    <t>Low / Early-Stage AI Readiness</t>
  </si>
  <si>
    <t>Current Tech Stack:</t>
  </si>
  <si>
    <t>PHP/Node.js, MySQL, Manual EC2, Excel Ops</t>
  </si>
  <si>
    <t>Assessment Date:</t>
  </si>
  <si>
    <t>July 2026</t>
  </si>
  <si>
    <t>Capability Domain Maturity Summary</t>
  </si>
  <si>
    <t>Section / Capability Domain</t>
  </si>
  <si>
    <t>Questions Evaluated</t>
  </si>
  <si>
    <t>Avg Maturity Rating (1-5)</t>
  </si>
  <si>
    <t>Maturity Level</t>
  </si>
  <si>
    <t>Nisol Studio Strategic Intervention</t>
  </si>
  <si>
    <t>Leadership &amp; Strategy</t>
  </si>
  <si>
    <t>Define Pragmatic AI Policy, Executive Strategy &amp; Dedicated R&amp;D Budget</t>
  </si>
  <si>
    <t>IT / Technology</t>
  </si>
  <si>
    <t>Modernize CI/CD Pipelines &amp; Introduce AI-Assisted Developer Coding Copilots</t>
  </si>
  <si>
    <t>Data &amp; Analytics</t>
  </si>
  <si>
    <t>Centralize Siloed Databases &amp; Build Automated Data Quality Checks</t>
  </si>
  <si>
    <t>Security &amp; Compliance</t>
  </si>
  <si>
    <t>Establish Formal Security Guidelines, Access Controls &amp; Patching SOPs</t>
  </si>
  <si>
    <t>Customer Service</t>
  </si>
  <si>
    <t>Deploy Knowledge Base &amp; AI Chatbot Copilot for Client Support Ticket Automation</t>
  </si>
  <si>
    <t>Sales</t>
  </si>
  <si>
    <t>Implement Automated Proposal Templates &amp; CRM Lead Scoring</t>
  </si>
  <si>
    <t>Marketing</t>
  </si>
  <si>
    <t>Automate Content Creation &amp; Basic Digital Campaign Tracking</t>
  </si>
  <si>
    <t>Operations &amp; Supply Chain</t>
  </si>
  <si>
    <t>Replace Excel Ops with Digital Resource Management &amp; Capacity Dashboards</t>
  </si>
  <si>
    <t>Finance</t>
  </si>
  <si>
    <t>Automate Accounts Payable Data Entry &amp; Financial Close Workflows</t>
  </si>
  <si>
    <t>HR</t>
  </si>
  <si>
    <t>Implement ATS Candidate Screening &amp; Digital Employee Onboarding Portal</t>
  </si>
  <si>
    <t>Procurement</t>
  </si>
  <si>
    <t>Establish Central SaaS Vendor Registry &amp; Renewal Alerts</t>
  </si>
  <si>
    <t>Legal</t>
  </si>
  <si>
    <t>Standardize NDA/MSA Templates &amp; Deploy Automated Contract Review</t>
  </si>
  <si>
    <t>Knowledge Management</t>
  </si>
  <si>
    <t>Digitize SOPs into Centralized Internal Knowledge Wiki (Notion/RAG)</t>
  </si>
  <si>
    <t>Project Management</t>
  </si>
  <si>
    <t>Standardize Agile Sprint Tracking &amp; Auto-Generated Client Status Reports</t>
  </si>
  <si>
    <t>Culture &amp; Change</t>
  </si>
  <si>
    <t>Conduct AI Fundamentals &amp; Prompting Training across Engineering Teams</t>
  </si>
  <si>
    <t>OVERALL ENTERPRISE AVERAGE</t>
  </si>
  <si>
    <t>High Growth Potential for Nisol Discovery &amp; Studio Onboarding</t>
  </si>
  <si>
    <t>Q#</t>
  </si>
  <si>
    <t>Section (Capability)</t>
  </si>
  <si>
    <t>Question Text</t>
  </si>
  <si>
    <t>Simulated Answer (Novatech Systems)</t>
  </si>
  <si>
    <t>Maturity Score Rating (1-5)</t>
  </si>
  <si>
    <t>Tip / Discussion Guidance</t>
  </si>
  <si>
    <t>Triggered Patterns / Nisol Modules</t>
  </si>
  <si>
    <t>What is the organization's top-level strategic vision for AI over the next 3 years?</t>
  </si>
  <si>
    <t>We do not have a formal 3-year AI strategy. Individual developers experiment with ChatGPT, but there is no top-down roadmap or dedicated AI budget.</t>
  </si>
  <si>
    <t>Look for specifics: Is there a formal AI roadmap? Is AI mentioned in the annual report? Who is driving it—CEO, CTO, or a dedicated CAIO?</t>
  </si>
  <si>
    <t>["AI Strategy Advisor","Innovation Portfolio Manager"]</t>
  </si>
  <si>
    <t>Who holds the ultimate decision-making authority and budget for AI investments?</t>
  </si>
  <si>
    <t>There is no dedicated AI budget. Any ad-hoc tool purchase (like GitHub Copilot) is approved on a case-by-case basis by the CTO.</t>
  </si>
  <si>
    <t>Identify if this is the CEO, CTO, CIO, or a dedicated CAIO. Check if budget is centralized (one pool) or distributed across departments.</t>
  </si>
  <si>
    <t>["Governance Framework Setup","Executive Dashboard"]</t>
  </si>
  <si>
    <t>How does the organization currently measure the success of technology or digital transformation initiatives?</t>
  </si>
  <si>
    <t>We measure digital initiatives purely on immediate project margins and billable client hours. We don't track tech transformation metrics systematically.</t>
  </si>
  <si>
    <t>Probe for specific KPIs: ROI, time-to-market, efficiency gains, cost savings, or user adoption rates. Are these tracked systematically?</t>
  </si>
  <si>
    <t>["Transformation KPI Tracker","Value Realization Office"]</t>
  </si>
  <si>
    <t>Has the organization undergone any major digital transformations in the last 3 years, and if so, what were the outcomes?</t>
  </si>
  <si>
    <t>We migrated a few client workloads to AWS EC2 over the last 2 years, but the process was manual and suffered from budget overruns and scope creep.</t>
  </si>
  <si>
    <t>Understand their change appetite. Did they succeed? Fail? What were the cultural impacts? This reveals their readiness for AI-led change.</t>
  </si>
  <si>
    <t>["Change Management Predictor","Legacy Migration Planner"]</t>
  </si>
  <si>
    <t>Is there a formal AI ethics, governance, or responsible AI policy currently in place?</t>
  </si>
  <si>
    <t>No formal AI ethics or governance policy exists. Engineers use public AI tools without official guidelines on data privacy or code IP risks.</t>
  </si>
  <si>
    <t>Ask about responsible AI, bias testing, transparency requirements, and who oversees ethical AI usage.</t>
  </si>
  <si>
    <t>["AI Governance Framework","Bias Detection Suite"]</t>
  </si>
  <si>
    <t>What is the current state of your cloud infrastructure (On-prem, Hybrid, Cloud-native)?</t>
  </si>
  <si>
    <t>Hybrid/Legacy infrastructure. Most client projects run on virtual machines or basic cloud instances with substantial manual server configuration.</t>
  </si>
  <si>
    <t>Assess maturity: Are they lifting-and-shifting legacy apps, or building cloud-native microservices? Do they use containers (Docker/K8s)?</t>
  </si>
  <si>
    <t>["Cloud Optimization Agent","Application Modernization Planner"]</t>
  </si>
  <si>
    <t>How mature is your API ecosystem and system integration capability?</t>
  </si>
  <si>
    <t>Basic REST APIs exist for client apps, but integration across internal platforms is fragmented and handled via ad-hoc point-to-point scripts.</t>
  </si>
  <si>
    <t>Do they have an API gateway? Are systems tightly coupled (point-to-point) or loosely coupled (event-driven)?</t>
  </si>
  <si>
    <t>["API Discovery &amp; Governance","Integration Accelerator"]</t>
  </si>
  <si>
    <t>What does your current software development lifecycle (SDLC) and DevOps velocity look like?</t>
  </si>
  <si>
    <t>SDLC relies on manual testing and semi-automated deployments. Deployments happen bi-weekly or monthly with frequent hotfixes required.</t>
  </si>
  <si>
    <t>Probe for deployment frequency, lead time for changes, mean time to recovery (MTTR). Do they practice CI/CD?</t>
  </si>
  <si>
    <t>["DevOps Assistant","CI/CD Pipeline Optimizer"]</t>
  </si>
  <si>
    <t>What are the top 3 legacy systems or technical debts that are currently constraining your business?</t>
  </si>
  <si>
    <t>1) Legacy monolithic client databases, 2) Heavy manual QA regression testing, 3) Lack of standardized CI/CD pipelines across project teams.</t>
  </si>
  <si>
    <t>Identify mainframe, outdated ERPs, or custom monolithic code that hinders AI adoption and integration.</t>
  </si>
  <si>
    <t>["Legacy Modernization Copilot","Technical Debt Analyzer"]</t>
  </si>
  <si>
    <t>How do you currently manage vendor lock-in risk for your core technology platforms?</t>
  </si>
  <si>
    <t>We don't actively manage vendor lock-in; we build on whichever cloud platform the client requests without abstracting infrastructure layers.</t>
  </si>
  <si>
    <t>Are there open-source alternatives? Are their contracts flexible? Do they have a multi-cloud or hybrid strategy?</t>
  </si>
  <si>
    <t>["Vendor Risk Intelligence","Multi-Cloud Strategy Planner"]</t>
  </si>
  <si>
    <t>How do you currently handle data quality monitoring? Who is responsible, and what tools are used?</t>
  </si>
  <si>
    <t>Data quality is checked manually when errors or client bug reports occur. No automated monitoring tools or dedicated roles exist.</t>
  </si>
  <si>
    <t>Probe: Is it proactive (automated) or reactive (manual checks)? Do they have data stewards? Are there data quality SLAs?</t>
  </si>
  <si>
    <t>["Data Quality Monitor","Data Profiling Agent"]</t>
  </si>
  <si>
    <t>Is there a centralized data warehouse/lake, or are systems siloed?</t>
  </si>
  <si>
    <t>Data is heavily siloed across separate PostgreSQL/MySQL databases, spreadsheets, and individual client project repositories.</t>
  </si>
  <si>
    <t>Determine the existence of a Single Source of Truth (SSOT). Are data pipelines ETL/ELT? Do they use tools like Snowflake, BigQuery, or Databricks?</t>
  </si>
  <si>
    <t>["Data Fabric Architect","Data Lakehouse Builder"]</t>
  </si>
  <si>
    <t>How mature is your Master Data Management (MDM) for critical entities (e.g., Customer, Product, Supplier)?</t>
  </si>
  <si>
    <t>No formal Master Data Management (MDM). Client and financial data are manually re-entered across CRM and billing software.</t>
  </si>
  <si>
    <t>Are customer IDs consistent across Sales, Support, and Billing? Is there a golden record?</t>
  </si>
  <si>
    <t>["MDM Harmonization Tool","Entity Resolution AI"]</t>
  </si>
  <si>
    <t>What is your current BI and reporting cadence? Is it real-time, daily, or weekly?</t>
  </si>
  <si>
    <t>Reporting is manual and periodic (weekly or monthly Excel spreadsheets compiled manually by project leads and finance).</t>
  </si>
  <si>
    <t>Identify if decisions are made on stale data. Do they have self-service BI tools (PowerBI, Tableau) or rely on IT for every report?</t>
  </si>
  <si>
    <t>["Real-time Analytics Pipeline","Automated Reporting Assistant"]</t>
  </si>
  <si>
    <t>Do you have a dedicated data science or advanced analytics team, and what is their primary focus?</t>
  </si>
  <si>
    <t>No dedicated data science or AI team. Project developers pick up basic data tasks as required by client contracts.</t>
  </si>
  <si>
    <t>Probe for skill levels: Descriptive analytics (what happened), Predictive (what will happen), or Prescriptive (what should we do).</t>
  </si>
  <si>
    <t>["Talent Augmentation Planner","AI/ML Platform Setup"]</t>
  </si>
  <si>
    <t>How mature is your cybersecurity posture, and do you have a formal incident response plan?</t>
  </si>
  <si>
    <t>Basic cybersecurity posture with standard firewall and antivirus. Incident response plan is informal and managed reactively by the IT lead.</t>
  </si>
  <si>
    <t>Assess if they have a Security Operations Center (SOC) or rely on outsourcing. Do they conduct regular penetration testing?</t>
  </si>
  <si>
    <t>["AI Threat Intelligence","Automated Incident Response"]</t>
  </si>
  <si>
    <t>Which regulatory frameworks apply to you (GDPR, HIPAA, SOC2, PCI-DSS, ISO 27001), and how are they managed?</t>
  </si>
  <si>
    <t>We follow basic security practices, but do not hold formal certifications like SOC 2 or ISO 27001 due to resource constraints.</t>
  </si>
  <si>
    <t>Are they manually audited (spreadsheets) or are controls automated with continuous compliance monitoring?</t>
  </si>
  <si>
    <t>["Compliance Automation Agent","Regulatory Change Tracker"]</t>
  </si>
  <si>
    <t>How do you handle Data Privacy (PII) and sensitive data discovery?</t>
  </si>
  <si>
    <t>PII and sensitive data handling relies on manual developer compliance and basic access permissions without automated discovery/masking.</t>
  </si>
  <si>
    <t>Is data classified at rest? Are there automated data masking or anonymization tools in place?</t>
  </si>
  <si>
    <t>["PII Discovery &amp; Masking","Data Privacy Copilot"]</t>
  </si>
  <si>
    <t>What is the current process for third-party vendor security assessments?</t>
  </si>
  <si>
    <t>Vendor security assessments are informal—we rely on the reputation of standard SaaS vendors without formal risk questionnaires.</t>
  </si>
  <si>
    <t>Is it a manual checklist sent once a year, or is there continuous monitoring with security scores (e.g., BitSight, SecurityScorecard)?</t>
  </si>
  <si>
    <t>["Vendor Risk Intelligence","Automated Security Scoring"]</t>
  </si>
  <si>
    <t>How quickly can you identify and patch newly discovered vulnerabilities in your environment?</t>
  </si>
  <si>
    <t>Patching is manual and periodic (monthly/quarterly), leaving windows where non-critical vulnerabilities remain unpatched.</t>
  </si>
  <si>
    <t>Measure their Mean Time to Remediate (MTTR). Do they have automated patch management?</t>
  </si>
  <si>
    <t>["Vulnerability Prioritizer","Patch Automation Bot"]</t>
  </si>
  <si>
    <t>What is your current monthly ticket volume across all support channels?</t>
  </si>
  <si>
    <t>We process roughly 50-80 client support tickets monthly, handled manually via email and basic ticketing software.</t>
  </si>
  <si>
    <t>Is volume growing year-over-year? What is the peak season like? This helps size AI automation opportunities.</t>
  </si>
  <si>
    <t>["AI Chatbot","Agent Assist Tool"]</t>
  </si>
  <si>
    <t>What channels do you support, and are they unified (Email, Chat, Social, Phone)?</t>
  </si>
  <si>
    <t>Support channels are un-unified; clients reach out via direct emails, phone calls, or WhatsApp, leading to untracked requests.</t>
  </si>
  <si>
    <t>Siloed channels often lead to poor experiences. Check if they have an omnichannel platform (Zendesk, Freshdesk, Salesforce).</t>
  </si>
  <si>
    <t>["Omnichannel Routing AI","Unified Agent Desktop"]</t>
  </si>
  <si>
    <t>Do you have a self-service knowledge base, and how is it maintained?</t>
  </si>
  <si>
    <t>No centralized knowledge base. Technical documentation is scattered across local drives, Google Docs, and developer notes.</t>
  </si>
  <si>
    <t>Is it static PDFs or a dynamic, searchable wiki? Is it integrated with their ticketing system?</t>
  </si>
  <si>
    <t>["Knowledge Assistant","Self-Service Optimizer"]</t>
  </si>
  <si>
    <t>How do you currently measure CSAT/NPS, and what is the average response and resolution time?</t>
  </si>
  <si>
    <t>CSAT is checked informally during project closing calls. Average response time is 4-8 hours with no automated SLA tracking.</t>
  </si>
  <si>
    <t>Identify automation opportunities in post-call surveys and sentiment analysis.</t>
  </si>
  <si>
    <t>["Sentiment Analysis Engine","Predictive CSAT Analyzer"]</t>
  </si>
  <si>
    <t>How mature is your CRM system, and how accurate is your sales forecasting?</t>
  </si>
  <si>
    <t>CRM usage is basic (spreadsheet-based or basic Zoho CRM). Sales forecasting is based on intuition and manual estimates.</t>
  </si>
  <si>
    <t>Compare forecast vs. actuals over the last 4 quarters. Is forecasting done by AI/ML or purely sales rep intuition?</t>
  </si>
  <si>
    <t>["Forecasting Intelligence","Deal Risk Predictor"]</t>
  </si>
  <si>
    <t>How are proposals, quotes, and contracts currently generated?</t>
  </si>
  <si>
    <t>Proposals and contracts are manually drafted in Word templates by sales reps, taking 3-5 days per quote.</t>
  </si>
  <si>
    <t>Is it manual (copy-paste from Word) or automated via a CPQ (Configure, Price, Quote) system?</t>
  </si>
  <si>
    <t>["Proposal Generator","CPQ (Configure Price Quote) AI"]</t>
  </si>
  <si>
    <t>How do you prioritize leads and account scoring?</t>
  </si>
  <si>
    <t>Lead prioritization is manual based on sales rep discretion rather than structured scoring or automated ICP criteria.</t>
  </si>
  <si>
    <t>Are they using BANT, CHAMP, or purely manual intuition? Is there a lead scoring model?</t>
  </si>
  <si>
    <t>["Lead Scoring AI","Next-Best-Action Recommender"]</t>
  </si>
  <si>
    <t>Where are the biggest friction points in your sales cycle?</t>
  </si>
  <si>
    <t>Major friction points are slow proposal creation and long delays in technical scoping by busy senior engineers.</t>
  </si>
  <si>
    <t>Look for bottlenecks: legal review, compliance, pricing approvals, or lengthy procurement processes.</t>
  </si>
  <si>
    <t>["Sales Cycle Optimizer","Deal Acceleration AI"]</t>
  </si>
  <si>
    <t>How do you currently personalize digital content for different customer segments?</t>
  </si>
  <si>
    <t>Digital content is generic. Personalization is limited to manual outreach by account managers.</t>
  </si>
  <si>
    <t>Is it dynamic in real-time (based on behavior) or static generic messaging sent to everyone?</t>
  </si>
  <si>
    <t>["Content Personalization AI","Segmentation Engine"]</t>
  </si>
  <si>
    <t>What automation tools do you use for ad buying (PPC/Programmatic) and SEO?</t>
  </si>
  <si>
    <t>No automated marketing tools. Ad campaigns and SEO research are done manually or outsourced to part-time freelancers.</t>
  </si>
  <si>
    <t>Are campaigns optimized manually daily or algorithmically via AI bidding?</t>
  </si>
  <si>
    <t>["Ad Optimizer","SEO Content Generator"]</t>
  </si>
  <si>
    <t>How is marketing attribution (touchpoint tracking) currently handled?</t>
  </si>
  <si>
    <t>Attribution is tracked informally by asking new leads 'How did you hear about us?' on discovery calls.</t>
  </si>
  <si>
    <t>Challenges with multi-channel attribution are common. Are they using last-click, multi-touch, or algorithmic attribution?</t>
  </si>
  <si>
    <t>["Multi-Touch Attribution AI","Customer Journey Mapping"]</t>
  </si>
  <si>
    <t>What is the process for creating and distributing new marketing collateral?</t>
  </si>
  <si>
    <t>Marketing collateral is created ad-hoc in Canva or Word whenever a new service or client pitch requires it.</t>
  </si>
  <si>
    <t>Is there a review bottleneck? Are they using DAM (Digital Asset Management) tools?</t>
  </si>
  <si>
    <t>["Creative Asset Generator","Marketing Calendar AI"]</t>
  </si>
  <si>
    <t>How automated are your core operational processes (e.g., order-to-cash, procure-to-pay)?</t>
  </si>
  <si>
    <t>Core operational processes (timesheets, billing, onboarding) require significant manual data entry and spreadsheet tracking.</t>
  </si>
  <si>
    <t>Identify manual handoffs between departments. Count the number of times a human touches a process.</t>
  </si>
  <si>
    <t>["Process Mining AI","Robotic Process Automation (RPA) Spotter"]</t>
  </si>
  <si>
    <t>How do you currently manage inventory, warehousing, or logistics visibility?</t>
  </si>
  <si>
    <t>Resource utilization and project bench management are tracked in Excel, updated manually during weekly status meetings.</t>
  </si>
  <si>
    <t>For manufacturing: IoT sensors on machines. For retail: SKU-level tracking. For logistics: fleet tracking GPS.</t>
  </si>
  <si>
    <t>["Inventory Optimizer","Predictive Maintenance (Mfg)"]</t>
  </si>
  <si>
    <t>How do you collaborate with suppliers and manage disruptions?</t>
  </si>
  <si>
    <t>Vendor management is reactive; contracts renew automatically unless flagged manually before renewal deadlines.</t>
  </si>
  <si>
    <t>Probe for visibility into tier-2/tier-3 suppliers. Are they using supplier portals or email/Excel?</t>
  </si>
  <si>
    <t>["Supply Chain Risk Radar","Supplier Collaboration Portal"]</t>
  </si>
  <si>
    <t>What is your biggest operational bottleneck causing delays or cost overruns?</t>
  </si>
  <si>
    <t>Resource allocation bottlenecks caused by lack of visibility into developer bandwidth across concurrent client projects.</t>
  </si>
  <si>
    <t>Note: Is it labor shortages, machine downtime, shipping delays, or quality issues?</t>
  </si>
  <si>
    <t>["Bottleneck Analysis AI","Operational Efficiency Copilot"]</t>
  </si>
  <si>
    <t>How are invoices received, processed, and approved in your accounts payable team?</t>
  </si>
  <si>
    <t>Invoices are received via email and manually verified/entered into accounting software by a part-time accountant.</t>
  </si>
  <si>
    <t>Count the number of manual touches. Are they using OCR for invoice extraction? What is the approval workflow?</t>
  </si>
  <si>
    <t>["Invoice Intelligence","Automated AP Processing"]</t>
  </si>
  <si>
    <t>How long does your monthly/quarterly financial close and reconciliation process take?</t>
  </si>
  <si>
    <t>Monthly financial close takes 10 to 12 business days due to manual reconciliation of timesheets and invoices.</t>
  </si>
  <si>
    <t>Speed of close indicates data integration maturity. Are they using spreadsheets for consolidation?</t>
  </si>
  <si>
    <t>["Financial Close Automation","Reconciliation AI"]</t>
  </si>
  <si>
    <t>How do you handle Financial Planning &amp; Analysis (FP&amp;A) and forecasting?</t>
  </si>
  <si>
    <t>FP&amp;A is basic, done via annual budget spreadsheets with minimal scenario planning or rolling forecasts.</t>
  </si>
  <si>
    <t>Are spreadsheets still heavily used? Is there a dedicated FP&amp;A tool (Adaptive, Anaplan, etc.)?</t>
  </si>
  <si>
    <t>["FP&amp;A Copilot","Predictive Budgeting AI"]</t>
  </si>
  <si>
    <t>What is your current approach to fraud detection and transaction monitoring?</t>
  </si>
  <si>
    <t>Fraud detection relies on basic bank dual-authorization and manual transaction review by company directors.</t>
  </si>
  <si>
    <t>Is it rule-based (static), or is there ML detection for anomalies?</t>
  </si>
  <si>
    <t>["Fraud Detection AI","Anomaly Monitoring System"]</t>
  </si>
  <si>
    <t>How is recruitment sourcing, screening, and onboarding currently managed?</t>
  </si>
  <si>
    <t>Recruitment is manual: job postings on LinkedIn, email resume screening, and manual scheduling for interviews.</t>
  </si>
  <si>
    <t>Assess volume of resumes processed manually. Is there an ATS (Applicant Tracking System)?</t>
  </si>
  <si>
    <t>["Resume Screening AI","Recruiter Copilot"]</t>
  </si>
  <si>
    <t>How are Learning &amp; Development (L&amp;D) courses and training delivered and tracked?</t>
  </si>
  <si>
    <t>L&amp;D is ad-hoc; developers learn on the job or use self-funded online courses with no central tracking.</t>
  </si>
  <si>
    <t>Are they personalized? Is completion tracked? Do they have an LMS (Learning Management System)?</t>
  </si>
  <si>
    <t>["L&amp;D Recommender","Skills Gap Analyzer"]</t>
  </si>
  <si>
    <t>What tools support employee engagement and attrition tracking?</t>
  </si>
  <si>
    <t>Employee engagement is gauged informally through team catch-ups. No formal attrition tracking or eNPS tools.</t>
  </si>
  <si>
    <t>Can they predict high-risk departures? Do they conduct pulse surveys?</t>
  </si>
  <si>
    <t>["Attrition Predictor","Engagement Sentiment Analyzer"]</t>
  </si>
  <si>
    <t>How are performance reviews and goal-setting (OKRs) managed across teams?</t>
  </si>
  <si>
    <t>Performance reviews are held annually using simple Word templates, with loose alignment to company goals.</t>
  </si>
  <si>
    <t>Is it an annual pain point or continuous feedback? Is there a tool (Culture Amp, Lattice, 15Five)?</t>
  </si>
  <si>
    <t>["Performance Insight AI","Goal Alignment Tracker"]</t>
  </si>
  <si>
    <t>How do you identify, evaluate, and onboard new suppliers?</t>
  </si>
  <si>
    <t>Suppliers and SaaS tools are chosen ad-hoc by project teams based on immediate project needs and cost.</t>
  </si>
  <si>
    <t>Is it manual or digital? Do they use a supplier discovery platform?</t>
  </si>
  <si>
    <t>["Sourcing Automation","Supplier Discovery AI"]</t>
  </si>
  <si>
    <t>How are procurement contracts managed throughout their lifecycle?</t>
  </si>
  <si>
    <t>Contracts are stored in shared Google Drive folders with manual calendar reminders for expiration dates.</t>
  </si>
  <si>
    <t>Are they in a CLM (Contract Lifecycle Management) system or scattered drives and emails?</t>
  </si>
  <si>
    <t>["Contract Lifecycle Management (CLM) AI","Obligation Tracker"]</t>
  </si>
  <si>
    <t>How do you track and benchmark supplier performance against SLAs?</t>
  </si>
  <si>
    <t>Vendor SLAs are not systematically tracked; issues are addressed only when service disruptions occur.</t>
  </si>
  <si>
    <t>Quantitative (scorecards, dashboards) or anecdotal? Is data shared back with suppliers?</t>
  </si>
  <si>
    <t>["Supplier Scorecard AI","Performance Analytics"]</t>
  </si>
  <si>
    <t>What is the volume of contracts, NDAs, and legal documents reviewed weekly?</t>
  </si>
  <si>
    <t>Legal documents (3-5 per week) are reviewed manually by company founders, with occasional external lawyer consults.</t>
  </si>
  <si>
    <t>High volume suggests AI contract review. What is the current average turnaround time?</t>
  </si>
  <si>
    <t>["Contract Review AI","NDA Analyzer"]</t>
  </si>
  <si>
    <t>How does the legal team stay on top of changes in relevant regulations?</t>
  </si>
  <si>
    <t>Regulatory changes are monitored casually through industry news and blog posts.</t>
  </si>
  <si>
    <t>Manual monitoring (trade journals, regulators) or automated alerts (regulatory intelligence platforms)?</t>
  </si>
  <si>
    <t>["Regulatory Monitoring AI","Regulatory Change Impact Analysis"]</t>
  </si>
  <si>
    <t>How are legal holds, e-discovery, and litigation support currently handled?</t>
  </si>
  <si>
    <t>Legal discovery is handled manually by searching local drives and cloud storage folders when needed.</t>
  </si>
  <si>
    <t>Probe for data retrieval times. Is there a dedicated e-discovery tool?</t>
  </si>
  <si>
    <t>["E-Discovery Assistant","Legal Hold Automation"]</t>
  </si>
  <si>
    <t>How do employees currently search for internal documents and expertise?</t>
  </si>
  <si>
    <t>Employees search for knowledge by asking colleagues directly on Slack or searching scattered Google Docs.</t>
  </si>
  <si>
    <t>Is there a company wiki or intranet, and is it effective? Or do they rely on asking colleagues (tribal knowledge)?</t>
  </si>
  <si>
    <t>["Enterprise Search AI","Internal Wiki GPT"]</t>
  </si>
  <si>
    <t>How are standard operating procedures (SOPs) and best practices captured and updated?</t>
  </si>
  <si>
    <t>SOPs are rarely documented; operational knowledge resides in senior team members' heads.</t>
  </si>
  <si>
    <t>Are they living documents (version-controlled, searchable) or dusty PDFs in a shared drive?</t>
  </si>
  <si>
    <t>["SOP Generator","Knowledge Base Health Monitor"]</t>
  </si>
  <si>
    <t>What happens when a new employee needs to find technical knowledge to solve a problem?</t>
  </si>
  <si>
    <t>New hires shadow senior engineers for several weeks to learn systems through verbal guidance and trial-and-error.</t>
  </si>
  <si>
    <t>Do they ask a colleague (tribal knowledge) or search a system? This reveals knowledge silos.</t>
  </si>
  <si>
    <t>["Expertise Location AI","Contextual Knowledge Assistant"]</t>
  </si>
  <si>
    <t>How does the PMO track resource allocation and capacity planning across projects?</t>
  </si>
  <si>
    <t>Resource planning is managed on a master Excel sheet by the Ops lead, often resulting in scheduling conflicts.</t>
  </si>
  <si>
    <t>Is it spreadsheets or enterprise PPM (Project Portfolio Management) tools like Jira, Asana, or MS Project?</t>
  </si>
  <si>
    <t>["Resource Optimizer","Capacity Planning AI"]</t>
  </si>
  <si>
    <t>What is the current project delivery predictability (e.g., on-time/on-budget rate)?</t>
  </si>
  <si>
    <t>Project delivery predictability is moderate (~60% on-time/on-budget), with scope creep being a common issue.</t>
  </si>
  <si>
    <t>Track the variance percentage. Do you have a standard delivery methodology (Agile, Waterfall, Hybrid)?</t>
  </si>
  <si>
    <t>["Delivery Risk Predictor","Project Health Dashboard"]</t>
  </si>
  <si>
    <t>How are project status reports, meeting minutes, and action items generated?</t>
  </si>
  <si>
    <t>Status reports and meeting notes are manually typed and emailed by project managers after client meetings.</t>
  </si>
  <si>
    <t>Is the PM writing them manually from multiple emails and Slack threads, or is there a tool?</t>
  </si>
  <si>
    <t>["Status Report Generator","Meeting Intelligence Assistant"]</t>
  </si>
  <si>
    <t>How would you describe the overall data-driven culture of your organization?</t>
  </si>
  <si>
    <t>Culture is intuitive rather than data-driven; decisions are made based on experience rather than telemetry.</t>
  </si>
  <si>
    <t>Do leaders make decisions based on data/evidence or primarily on intuition? Is data literacy widespread?</t>
  </si>
  <si>
    <t>["Culture Change Navigator","Digital Fluency Assessment"]</t>
  </si>
  <si>
    <t>What is the level of AI literacy among your leadership and middle management?</t>
  </si>
  <si>
    <t>AI literacy is limited to basic familiarity with ChatGPT/Claude for drafting emails or basic code snippets.</t>
  </si>
  <si>
    <t>Have they had AI training or workshops? Do they understand basic AI concepts (ML, NLP, Generative AI)?</t>
  </si>
  <si>
    <t>["AI Literacy Bootcamp","Leadership AI Workshop Planner"]</t>
  </si>
  <si>
    <t>How does the organization handle failure and risk-taking regarding new technologies?</t>
  </si>
  <si>
    <t>Risk aversion is high due to tight project margins; teams rarely experiment with unproven technologies.</t>
  </si>
  <si>
    <t>Is it a "fail fast, learn fast" culture, or is it highly risk-averse (requiring 100% certainty before any investment)?</t>
  </si>
  <si>
    <t>["Innovation Sandbox Planner","Risk-Tolerance Assessment"]</t>
  </si>
  <si>
    <t>What are the primary barriers to change you foresee in adopting AI?</t>
  </si>
  <si>
    <t>Primary barriers are lack of technical AI expertise, fear of implementation costs, and budget constraints.</t>
  </si>
  <si>
    <t>Top answers: Fear of job loss, lack of trust in AI, unclear business value, or lack of technical skills.</t>
  </si>
  <si>
    <t>["Change Impact Analysis","Stakeholder Communication Generator"]</t>
  </si>
  <si>
    <t>How siloed are the departments currently?</t>
  </si>
  <si>
    <t>Departments operate in informal silos, leading to miscommunication between sales, engineering, and finance.</t>
  </si>
  <si>
    <t>Probe about cross-functional collaboration. Do teams share data and insights freely, or operate in isolation?</t>
  </si>
  <si>
    <t>["Silo Breaker Strategy","Cross-Functional AI Council Planner"]</t>
  </si>
  <si>
    <t>Is there a clear internal communications channel for upcoming tech changes?</t>
  </si>
  <si>
    <t>Internal communications occur via ad-hoc Slack messages; no formal newsletter or tech update channel exists.</t>
  </si>
  <si>
    <t>Crucial for managing digital transformation. Do they have an internal comms plan for major tech rollouts?</t>
  </si>
  <si>
    <t>["Internal Comms AI","Digital Change Agent"]</t>
  </si>
  <si>
    <t>Nisol Studio — AI Transformation Roadmap for Novatech Systems</t>
  </si>
  <si>
    <t>Phased AI Onboarding &amp; Capability Enhancement Path</t>
  </si>
  <si>
    <t>Priority Phase</t>
  </si>
  <si>
    <t>Capability Domain</t>
  </si>
  <si>
    <t>Maturity Baseline</t>
  </si>
  <si>
    <t>Nisol Studio AI Module / Agent</t>
  </si>
  <si>
    <t>Target Outcome &amp; KPI</t>
  </si>
  <si>
    <t>Estimated Timeline</t>
  </si>
  <si>
    <t>Phase 1: Foundation &amp; Quick Wins</t>
  </si>
  <si>
    <t>Knowledge &amp; SOPs</t>
  </si>
  <si>
    <t>Maturity: 1.0 (Initial)</t>
  </si>
  <si>
    <t>Nisol RAG Knowledge Wiki Agent</t>
  </si>
  <si>
    <t>Centralize scattered Google Docs &amp; SOPs into an interactive developer search agent.</t>
  </si>
  <si>
    <t>Month 1</t>
  </si>
  <si>
    <t>Sales &amp; Proposal Scoping</t>
  </si>
  <si>
    <t>Maturity: 2.0 (Repeatable)</t>
  </si>
  <si>
    <t>Nisol Smart Proposal &amp; SOW Generator</t>
  </si>
  <si>
    <t>Reduce proposal generation time from 5 days to 3 hours using structured client scope templates.</t>
  </si>
  <si>
    <t>Month 1 - 2</t>
  </si>
  <si>
    <t>Leadership &amp; AI Governance</t>
  </si>
  <si>
    <t>Maturity: 1.2 (Initial)</t>
  </si>
  <si>
    <t>Nisol AI Policy &amp; Sandbox Manager</t>
  </si>
  <si>
    <t>Establish clear employee AI guidelines and secure internal LLM sandboxes.</t>
  </si>
  <si>
    <t>Month 2</t>
  </si>
  <si>
    <t>Phase 2: Core Delivery Efficiency</t>
  </si>
  <si>
    <t>IT &amp; Code Quality</t>
  </si>
  <si>
    <t>Nisol DevCopilot &amp; Testing Agent</t>
  </si>
  <si>
    <t>Introduce AI coding assistants and automated unit testing to decrease delivery bugs by 30%.</t>
  </si>
  <si>
    <t>Month 2 - 4</t>
  </si>
  <si>
    <t>Maturity: 1.7 (Initial)</t>
  </si>
  <si>
    <t>Nisol PM Status &amp; Sprint Summarizer</t>
  </si>
  <si>
    <t>Automate weekly client status emails and Jira/Slack summary digests.</t>
  </si>
  <si>
    <t>Month 3 - 5</t>
  </si>
  <si>
    <t>Customer Support</t>
  </si>
  <si>
    <t>Maturity: 1.8 (Initial)</t>
  </si>
  <si>
    <t>Nisol Support Ticket &amp; Knowledge Copilot</t>
  </si>
  <si>
    <t>Auto-categorize client tickets and suggest resolution steps for support engineers.</t>
  </si>
  <si>
    <t>Month 4 - 6</t>
  </si>
  <si>
    <t>Phase 3: Operations &amp; Scale</t>
  </si>
  <si>
    <t>Operations &amp; Bench Ops</t>
  </si>
  <si>
    <t>Nisol Resource Allocation Agent</t>
  </si>
  <si>
    <t>Replace Excel bench tracking with dynamic developer allocation and utilization tracking.</t>
  </si>
  <si>
    <t>Month 5 - 7</t>
  </si>
  <si>
    <t>Legal &amp; Contracts</t>
  </si>
  <si>
    <t>Maturity: 1.3 (Initial)</t>
  </si>
  <si>
    <t>Nisol Contract Review Agent</t>
  </si>
  <si>
    <t>Flag high-risk liability/IP clauses in client MSAs before founder review.</t>
  </si>
  <si>
    <t>Month 6 - 8</t>
  </si>
  <si>
    <t>Finance &amp; Invoicing</t>
  </si>
  <si>
    <t>Nisol AP &amp; Invoice Matching Agent</t>
  </si>
  <si>
    <t>Automate invoice extraction and reduce monthly financial close from 12 to 3 days.</t>
  </si>
  <si>
    <t>Month 7 - 9</t>
  </si>
  <si>
    <t>Email:</t>
  </si>
  <si>
    <t>jayashriraut369@gmail.com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</si>
</sst>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6"/>
      <color rgb="FF1B365D"/>
      <name val="Arial"/>
    </font>
    <font>
      <i/>
      <sz val="11"/>
      <color rgb="FF4A6B82"/>
      <name val="Arial"/>
    </font>
    <font>
      <b/>
      <sz val="12"/>
      <color rgb="FFFFFFFF"/>
      <name val="Arial"/>
    </font>
    <font>
      <b/>
      <sz val="10"/>
      <color rgb="FF1B365D"/>
      <name val="Arial"/>
    </font>
    <font>
      <sz val="10"/>
      <color rgb="FF333333"/>
      <name val="Arial"/>
    </font>
    <font>
      <b/>
      <sz val="13"/>
      <color rgb="FF1B365D"/>
      <name val="Arial"/>
    </font>
    <font>
      <b/>
      <sz val="11"/>
      <color rgb="FFFFFFFF"/>
      <name val="Arial"/>
    </font>
    <font>
      <b/>
      <sz val="11"/>
      <color rgb="FF1B365D"/>
      <name val="Arial"/>
    </font>
    <font>
      <i/>
      <sz val="9"/>
      <color rgb="FF555555"/>
      <name val="Arial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E8EEF5"/>
        <bgColor rgb="FFE8EEF5"/>
      </patternFill>
    </fill>
    <fill>
      <patternFill patternType="solid">
        <fgColor rgb="FFF7F9FC"/>
        <bgColor rgb="FFF7F9FC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rgb="FF1B365D"/>
      </top>
      <bottom style="double">
        <color rgb="FF1B365D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4" fillId="3" borderId="1" xfId="0" applyFont="1" applyFill="1" applyBorder="1"/>
    <xf numFmtId="0" fontId="5" fillId="3" borderId="1" xfId="0" applyFont="1" applyFill="1" applyBorder="1"/>
    <xf numFmtId="0" fontId="0" fillId="3" borderId="1" xfId="0" applyFill="1" applyBorder="1"/>
    <xf numFmtId="0" fontId="6" fillId="0" borderId="0" xfId="0" applyFont="1"/>
    <xf numFmtId="0" fontId="7" fillId="2" borderId="0" xfId="0" applyFont="1" applyFill="1" applyAlignment="1">
      <alignment horizontal="center" vertical="center" wrapText="1"/>
    </xf>
    <xf numFmtId="0" fontId="4" fillId="4" borderId="1" xfId="0" applyFont="1" applyFill="1" applyBorder="1"/>
    <xf numFmtId="0" fontId="5" fillId="4" borderId="1" xfId="0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0" fontId="5" fillId="4" borderId="1" xfId="0" applyFont="1" applyFill="1" applyBorder="1"/>
    <xf numFmtId="0" fontId="4" fillId="5" borderId="1" xfId="0" applyFont="1" applyFill="1" applyBorder="1"/>
    <xf numFmtId="0" fontId="5" fillId="5" borderId="1" xfId="0" applyFont="1" applyFill="1" applyBorder="1" applyAlignment="1">
      <alignment horizontal="center"/>
    </xf>
    <xf numFmtId="164" fontId="4" fillId="5" borderId="1" xfId="0" applyNumberFormat="1" applyFont="1" applyFill="1" applyBorder="1" applyAlignment="1">
      <alignment horizontal="center"/>
    </xf>
    <xf numFmtId="0" fontId="5" fillId="5" borderId="1" xfId="0" applyFont="1" applyFill="1" applyBorder="1"/>
    <xf numFmtId="0" fontId="8" fillId="3" borderId="2" xfId="0" applyFont="1" applyFill="1" applyBorder="1"/>
    <xf numFmtId="0" fontId="4" fillId="3" borderId="2" xfId="0" applyFont="1" applyFill="1" applyBorder="1" applyAlignment="1">
      <alignment horizontal="center"/>
    </xf>
    <xf numFmtId="164" fontId="8" fillId="3" borderId="2" xfId="0" applyNumberFormat="1" applyFont="1" applyFill="1" applyBorder="1" applyAlignment="1">
      <alignment horizontal="center"/>
    </xf>
    <xf numFmtId="0" fontId="4" fillId="3" borderId="2" xfId="0" applyFont="1" applyFill="1" applyBorder="1"/>
    <xf numFmtId="0" fontId="4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center" vertical="top"/>
    </xf>
    <xf numFmtId="0" fontId="9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center" vertical="top"/>
    </xf>
    <xf numFmtId="0" fontId="9" fillId="5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3" fillId="2" borderId="0" xfId="0" applyFont="1" applyFill="1"/>
    <xf numFmtId="0" fontId="0" fillId="2" borderId="0" xfId="0" applyFill="1"/>
    <xf numFmtId="0" fontId="4" fillId="3" borderId="3" xfId="0" applyFont="1" applyFill="1" applyBorder="1"/>
    <xf numFmtId="0" fontId="10" fillId="3" borderId="3" xfId="1" applyFill="1" applyBorder="1"/>
    <xf numFmtId="0" fontId="4" fillId="3" borderId="0" xfId="0" applyFont="1" applyFill="1" applyBorder="1"/>
    <xf numFmtId="0" fontId="10" fillId="3" borderId="0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Novatech Systems — Capability Maturity Scores (1-5)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Summary'!$C$12</c:f>
              <c:strCache>
                <c:ptCount val="1"/>
                <c:pt idx="0">
                  <c:v>Avg Maturity Rating (1-5)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'Executive Summary'!$A$13:$A$27</c:f>
              <c:strCache>
                <c:ptCount val="15"/>
                <c:pt idx="0">
                  <c:v>Leadership &amp; Strategy</c:v>
                </c:pt>
                <c:pt idx="1">
                  <c:v>IT / Technology</c:v>
                </c:pt>
                <c:pt idx="2">
                  <c:v>Data &amp; Analytics</c:v>
                </c:pt>
                <c:pt idx="3">
                  <c:v>Security &amp; Compliance</c:v>
                </c:pt>
                <c:pt idx="4">
                  <c:v>Customer Service</c:v>
                </c:pt>
                <c:pt idx="5">
                  <c:v>Sales</c:v>
                </c:pt>
                <c:pt idx="6">
                  <c:v>Marketing</c:v>
                </c:pt>
                <c:pt idx="7">
                  <c:v>Operations &amp; Supply Chain</c:v>
                </c:pt>
                <c:pt idx="8">
                  <c:v>Finance</c:v>
                </c:pt>
                <c:pt idx="9">
                  <c:v>HR</c:v>
                </c:pt>
                <c:pt idx="10">
                  <c:v>Procurement</c:v>
                </c:pt>
                <c:pt idx="11">
                  <c:v>Legal</c:v>
                </c:pt>
                <c:pt idx="12">
                  <c:v>Knowledge Management</c:v>
                </c:pt>
                <c:pt idx="13">
                  <c:v>Project Management</c:v>
                </c:pt>
                <c:pt idx="14">
                  <c:v>Culture &amp; Change</c:v>
                </c:pt>
              </c:strCache>
            </c:strRef>
          </c:cat>
          <c:val>
            <c:numRef>
              <c:f>'Executive Summary'!$C$13:$C$27</c:f>
              <c:numCache>
                <c:formatCode>0.0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B7-4A3F-BA7A-D12EF742F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Capability Section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Maturity Score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29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jayashriraut36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workbookViewId="0"/>
  </sheetViews>
  <sheetFormatPr defaultRowHeight="14.5" x14ac:dyDescent="0.35"/>
  <cols>
    <col min="1" max="1" width="30" customWidth="1"/>
    <col min="2" max="2" width="22" customWidth="1"/>
    <col min="3" max="3" width="25" customWidth="1"/>
    <col min="4" max="4" width="20" customWidth="1"/>
    <col min="5" max="5" width="55" customWidth="1"/>
  </cols>
  <sheetData>
    <row r="1" spans="1:5" ht="20" x14ac:dyDescent="0.4">
      <c r="A1" s="1" t="s">
        <v>0</v>
      </c>
    </row>
    <row r="2" spans="1:5" x14ac:dyDescent="0.35">
      <c r="A2" s="2" t="s">
        <v>1</v>
      </c>
    </row>
    <row r="4" spans="1:5" ht="15.5" x14ac:dyDescent="0.35">
      <c r="A4" s="32" t="s">
        <v>2</v>
      </c>
      <c r="B4" s="33"/>
      <c r="C4" s="33"/>
      <c r="D4" s="33"/>
      <c r="E4" s="33"/>
    </row>
    <row r="5" spans="1:5" x14ac:dyDescent="0.35">
      <c r="A5" s="3" t="s">
        <v>3</v>
      </c>
      <c r="B5" s="4" t="s">
        <v>4</v>
      </c>
      <c r="C5" s="5"/>
      <c r="D5" s="3" t="s">
        <v>5</v>
      </c>
      <c r="E5" s="4" t="s">
        <v>6</v>
      </c>
    </row>
    <row r="6" spans="1:5" x14ac:dyDescent="0.35">
      <c r="A6" s="3" t="s">
        <v>7</v>
      </c>
      <c r="B6" s="4" t="s">
        <v>8</v>
      </c>
      <c r="C6" s="5"/>
      <c r="D6" s="3" t="s">
        <v>9</v>
      </c>
      <c r="E6" s="4" t="s">
        <v>10</v>
      </c>
    </row>
    <row r="7" spans="1:5" x14ac:dyDescent="0.35">
      <c r="A7" s="3" t="s">
        <v>11</v>
      </c>
      <c r="B7" s="4" t="s">
        <v>12</v>
      </c>
      <c r="C7" s="5"/>
      <c r="D7" s="3" t="s">
        <v>13</v>
      </c>
      <c r="E7" s="4" t="s">
        <v>14</v>
      </c>
    </row>
    <row r="8" spans="1:5" x14ac:dyDescent="0.35">
      <c r="A8" s="3" t="s">
        <v>15</v>
      </c>
      <c r="B8" s="4" t="s">
        <v>16</v>
      </c>
      <c r="C8" s="5"/>
      <c r="D8" s="3" t="s">
        <v>17</v>
      </c>
      <c r="E8" s="4" t="s">
        <v>18</v>
      </c>
    </row>
    <row r="9" spans="1:5" x14ac:dyDescent="0.35">
      <c r="A9" s="34" t="s">
        <v>364</v>
      </c>
      <c r="B9" s="35" t="s">
        <v>365</v>
      </c>
    </row>
    <row r="10" spans="1:5" x14ac:dyDescent="0.35">
      <c r="A10" s="36"/>
      <c r="B10" s="37"/>
    </row>
    <row r="11" spans="1:5" ht="16.5" x14ac:dyDescent="0.35">
      <c r="A11" s="6" t="s">
        <v>19</v>
      </c>
    </row>
    <row r="12" spans="1:5" x14ac:dyDescent="0.35">
      <c r="A12" s="7" t="s">
        <v>20</v>
      </c>
      <c r="B12" s="7" t="s">
        <v>21</v>
      </c>
      <c r="C12" s="7" t="s">
        <v>22</v>
      </c>
      <c r="D12" s="7" t="s">
        <v>23</v>
      </c>
      <c r="E12" s="7" t="s">
        <v>24</v>
      </c>
    </row>
    <row r="13" spans="1:5" x14ac:dyDescent="0.35">
      <c r="A13" s="8" t="s">
        <v>25</v>
      </c>
      <c r="B13" s="9">
        <v>5</v>
      </c>
      <c r="C13" s="10" t="e">
        <f>AVERAGEIF('Nisol Discovery Assessment'!$B$2:$B$63, A13, 'Nisol Discovery Assessment'!$E$2:$E$63)</f>
        <v>#DIV/0!</v>
      </c>
      <c r="D13" s="9" t="e">
        <f t="shared" ref="D13:D28" si="0">IF(C13&gt;=4.5,"5-Optimized",IF(C13&gt;=3.5,"4-Managed",IF(C13&gt;=2.5,"3-Defined",IF(C13&gt;=1.5,"2-Repeatable","1-Initial"))))</f>
        <v>#DIV/0!</v>
      </c>
      <c r="E13" s="11" t="s">
        <v>26</v>
      </c>
    </row>
    <row r="14" spans="1:5" x14ac:dyDescent="0.35">
      <c r="A14" s="12" t="s">
        <v>27</v>
      </c>
      <c r="B14" s="13">
        <v>5</v>
      </c>
      <c r="C14" s="14" t="e">
        <f>AVERAGEIF('Nisol Discovery Assessment'!$B$2:$B$63, A14, 'Nisol Discovery Assessment'!$E$2:$E$63)</f>
        <v>#DIV/0!</v>
      </c>
      <c r="D14" s="13" t="e">
        <f t="shared" si="0"/>
        <v>#DIV/0!</v>
      </c>
      <c r="E14" s="15" t="s">
        <v>28</v>
      </c>
    </row>
    <row r="15" spans="1:5" x14ac:dyDescent="0.35">
      <c r="A15" s="8" t="s">
        <v>29</v>
      </c>
      <c r="B15" s="9">
        <v>5</v>
      </c>
      <c r="C15" s="10" t="e">
        <f>AVERAGEIF('Nisol Discovery Assessment'!$B$2:$B$63, A15, 'Nisol Discovery Assessment'!$E$2:$E$63)</f>
        <v>#DIV/0!</v>
      </c>
      <c r="D15" s="9" t="e">
        <f t="shared" si="0"/>
        <v>#DIV/0!</v>
      </c>
      <c r="E15" s="11" t="s">
        <v>30</v>
      </c>
    </row>
    <row r="16" spans="1:5" x14ac:dyDescent="0.35">
      <c r="A16" s="12" t="s">
        <v>31</v>
      </c>
      <c r="B16" s="13">
        <v>5</v>
      </c>
      <c r="C16" s="14" t="e">
        <f>AVERAGEIF('Nisol Discovery Assessment'!$B$2:$B$63, A16, 'Nisol Discovery Assessment'!$E$2:$E$63)</f>
        <v>#DIV/0!</v>
      </c>
      <c r="D16" s="13" t="e">
        <f t="shared" si="0"/>
        <v>#DIV/0!</v>
      </c>
      <c r="E16" s="15" t="s">
        <v>32</v>
      </c>
    </row>
    <row r="17" spans="1:5" x14ac:dyDescent="0.35">
      <c r="A17" s="8" t="s">
        <v>33</v>
      </c>
      <c r="B17" s="9">
        <v>4</v>
      </c>
      <c r="C17" s="10" t="e">
        <f>AVERAGEIF('Nisol Discovery Assessment'!$B$2:$B$63, A17, 'Nisol Discovery Assessment'!$E$2:$E$63)</f>
        <v>#DIV/0!</v>
      </c>
      <c r="D17" s="9" t="e">
        <f t="shared" si="0"/>
        <v>#DIV/0!</v>
      </c>
      <c r="E17" s="11" t="s">
        <v>34</v>
      </c>
    </row>
    <row r="18" spans="1:5" x14ac:dyDescent="0.35">
      <c r="A18" s="12" t="s">
        <v>35</v>
      </c>
      <c r="B18" s="13">
        <v>4</v>
      </c>
      <c r="C18" s="14" t="e">
        <f>AVERAGEIF('Nisol Discovery Assessment'!$B$2:$B$63, A18, 'Nisol Discovery Assessment'!$E$2:$E$63)</f>
        <v>#DIV/0!</v>
      </c>
      <c r="D18" s="13" t="e">
        <f t="shared" si="0"/>
        <v>#DIV/0!</v>
      </c>
      <c r="E18" s="15" t="s">
        <v>36</v>
      </c>
    </row>
    <row r="19" spans="1:5" x14ac:dyDescent="0.35">
      <c r="A19" s="8" t="s">
        <v>37</v>
      </c>
      <c r="B19" s="9">
        <v>4</v>
      </c>
      <c r="C19" s="10" t="e">
        <f>AVERAGEIF('Nisol Discovery Assessment'!$B$2:$B$63, A19, 'Nisol Discovery Assessment'!$E$2:$E$63)</f>
        <v>#DIV/0!</v>
      </c>
      <c r="D19" s="9" t="e">
        <f t="shared" si="0"/>
        <v>#DIV/0!</v>
      </c>
      <c r="E19" s="11" t="s">
        <v>38</v>
      </c>
    </row>
    <row r="20" spans="1:5" x14ac:dyDescent="0.35">
      <c r="A20" s="12" t="s">
        <v>39</v>
      </c>
      <c r="B20" s="13">
        <v>4</v>
      </c>
      <c r="C20" s="14" t="e">
        <f>AVERAGEIF('Nisol Discovery Assessment'!$B$2:$B$63, A20, 'Nisol Discovery Assessment'!$E$2:$E$63)</f>
        <v>#DIV/0!</v>
      </c>
      <c r="D20" s="13" t="e">
        <f t="shared" si="0"/>
        <v>#DIV/0!</v>
      </c>
      <c r="E20" s="15" t="s">
        <v>40</v>
      </c>
    </row>
    <row r="21" spans="1:5" x14ac:dyDescent="0.35">
      <c r="A21" s="8" t="s">
        <v>41</v>
      </c>
      <c r="B21" s="9">
        <v>4</v>
      </c>
      <c r="C21" s="10" t="e">
        <f>AVERAGEIF('Nisol Discovery Assessment'!$B$2:$B$63, A21, 'Nisol Discovery Assessment'!$E$2:$E$63)</f>
        <v>#DIV/0!</v>
      </c>
      <c r="D21" s="9" t="e">
        <f t="shared" si="0"/>
        <v>#DIV/0!</v>
      </c>
      <c r="E21" s="11" t="s">
        <v>42</v>
      </c>
    </row>
    <row r="22" spans="1:5" x14ac:dyDescent="0.35">
      <c r="A22" s="12" t="s">
        <v>43</v>
      </c>
      <c r="B22" s="13">
        <v>4</v>
      </c>
      <c r="C22" s="14" t="e">
        <f>AVERAGEIF('Nisol Discovery Assessment'!$B$2:$B$63, A22, 'Nisol Discovery Assessment'!$E$2:$E$63)</f>
        <v>#DIV/0!</v>
      </c>
      <c r="D22" s="13" t="e">
        <f t="shared" si="0"/>
        <v>#DIV/0!</v>
      </c>
      <c r="E22" s="15" t="s">
        <v>44</v>
      </c>
    </row>
    <row r="23" spans="1:5" x14ac:dyDescent="0.35">
      <c r="A23" s="8" t="s">
        <v>45</v>
      </c>
      <c r="B23" s="9">
        <v>3</v>
      </c>
      <c r="C23" s="10" t="e">
        <f>AVERAGEIF('Nisol Discovery Assessment'!$B$2:$B$63, A23, 'Nisol Discovery Assessment'!$E$2:$E$63)</f>
        <v>#DIV/0!</v>
      </c>
      <c r="D23" s="9" t="e">
        <f t="shared" si="0"/>
        <v>#DIV/0!</v>
      </c>
      <c r="E23" s="11" t="s">
        <v>46</v>
      </c>
    </row>
    <row r="24" spans="1:5" x14ac:dyDescent="0.35">
      <c r="A24" s="12" t="s">
        <v>47</v>
      </c>
      <c r="B24" s="13">
        <v>3</v>
      </c>
      <c r="C24" s="14" t="e">
        <f>AVERAGEIF('Nisol Discovery Assessment'!$B$2:$B$63, A24, 'Nisol Discovery Assessment'!$E$2:$E$63)</f>
        <v>#DIV/0!</v>
      </c>
      <c r="D24" s="13" t="e">
        <f t="shared" si="0"/>
        <v>#DIV/0!</v>
      </c>
      <c r="E24" s="15" t="s">
        <v>48</v>
      </c>
    </row>
    <row r="25" spans="1:5" x14ac:dyDescent="0.35">
      <c r="A25" s="8" t="s">
        <v>49</v>
      </c>
      <c r="B25" s="9">
        <v>3</v>
      </c>
      <c r="C25" s="10" t="e">
        <f>AVERAGEIF('Nisol Discovery Assessment'!$B$2:$B$63, A25, 'Nisol Discovery Assessment'!$E$2:$E$63)</f>
        <v>#DIV/0!</v>
      </c>
      <c r="D25" s="9" t="e">
        <f t="shared" si="0"/>
        <v>#DIV/0!</v>
      </c>
      <c r="E25" s="11" t="s">
        <v>50</v>
      </c>
    </row>
    <row r="26" spans="1:5" x14ac:dyDescent="0.35">
      <c r="A26" s="12" t="s">
        <v>51</v>
      </c>
      <c r="B26" s="13">
        <v>3</v>
      </c>
      <c r="C26" s="14" t="e">
        <f>AVERAGEIF('Nisol Discovery Assessment'!$B$2:$B$63, A26, 'Nisol Discovery Assessment'!$E$2:$E$63)</f>
        <v>#DIV/0!</v>
      </c>
      <c r="D26" s="13" t="e">
        <f t="shared" si="0"/>
        <v>#DIV/0!</v>
      </c>
      <c r="E26" s="15" t="s">
        <v>52</v>
      </c>
    </row>
    <row r="27" spans="1:5" x14ac:dyDescent="0.35">
      <c r="A27" s="8" t="s">
        <v>53</v>
      </c>
      <c r="B27" s="9">
        <v>6</v>
      </c>
      <c r="C27" s="10" t="e">
        <f>AVERAGEIF('Nisol Discovery Assessment'!$B$2:$B$63, A27, 'Nisol Discovery Assessment'!$E$2:$E$63)</f>
        <v>#DIV/0!</v>
      </c>
      <c r="D27" s="9" t="e">
        <f t="shared" si="0"/>
        <v>#DIV/0!</v>
      </c>
      <c r="E27" s="11" t="s">
        <v>54</v>
      </c>
    </row>
    <row r="28" spans="1:5" x14ac:dyDescent="0.35">
      <c r="A28" s="16" t="s">
        <v>55</v>
      </c>
      <c r="B28" s="17">
        <f>SUM(B13:B27)</f>
        <v>62</v>
      </c>
      <c r="C28" s="18" t="e">
        <f>AVERAGE('Nisol Discovery Assessment'!$E$2:$E$63)</f>
        <v>#DIV/0!</v>
      </c>
      <c r="D28" s="17" t="e">
        <f t="shared" si="0"/>
        <v>#DIV/0!</v>
      </c>
      <c r="E28" s="19" t="s">
        <v>56</v>
      </c>
    </row>
  </sheetData>
  <mergeCells count="1">
    <mergeCell ref="A4:E4"/>
  </mergeCells>
  <hyperlinks>
    <hyperlink ref="B9" r:id="rId1" xr:uid="{15D0B782-6485-4B37-AB19-7CD43862647A}"/>
  </hyperlinks>
  <pageMargins left="0.75" right="0.75" top="1" bottom="1" header="0.5" footer="0.5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3"/>
  <sheetViews>
    <sheetView tabSelected="1" workbookViewId="0">
      <selection activeCell="D6" sqref="D6"/>
    </sheetView>
  </sheetViews>
  <sheetFormatPr defaultRowHeight="14.5" x14ac:dyDescent="0.35"/>
  <cols>
    <col min="1" max="1" width="8" customWidth="1"/>
    <col min="2" max="2" width="24" customWidth="1"/>
    <col min="3" max="3" width="45" customWidth="1"/>
    <col min="4" max="4" width="50" customWidth="1"/>
    <col min="5" max="5" width="16" customWidth="1"/>
    <col min="6" max="6" width="40" customWidth="1"/>
    <col min="7" max="7" width="30" customWidth="1"/>
  </cols>
  <sheetData>
    <row r="1" spans="1:7" ht="28" x14ac:dyDescent="0.35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7" t="s">
        <v>62</v>
      </c>
      <c r="G1" s="7" t="s">
        <v>63</v>
      </c>
    </row>
    <row r="2" spans="1:7" ht="37.5" x14ac:dyDescent="0.35">
      <c r="A2" s="20">
        <v>1</v>
      </c>
      <c r="B2" s="21" t="s">
        <v>25</v>
      </c>
      <c r="C2" s="22" t="s">
        <v>64</v>
      </c>
      <c r="D2" s="22" t="s">
        <v>65</v>
      </c>
      <c r="E2" s="23">
        <v>1</v>
      </c>
      <c r="F2" s="24" t="s">
        <v>66</v>
      </c>
      <c r="G2" s="22" t="s">
        <v>67</v>
      </c>
    </row>
    <row r="3" spans="1:7" ht="37.5" x14ac:dyDescent="0.35">
      <c r="A3" s="25">
        <v>2</v>
      </c>
      <c r="B3" s="26" t="s">
        <v>25</v>
      </c>
      <c r="C3" s="27" t="s">
        <v>68</v>
      </c>
      <c r="D3" s="27" t="s">
        <v>69</v>
      </c>
      <c r="E3" s="28">
        <v>1</v>
      </c>
      <c r="F3" s="29" t="s">
        <v>70</v>
      </c>
      <c r="G3" s="27" t="s">
        <v>71</v>
      </c>
    </row>
    <row r="4" spans="1:7" ht="37.5" x14ac:dyDescent="0.35">
      <c r="A4" s="20">
        <v>3</v>
      </c>
      <c r="B4" s="21" t="s">
        <v>25</v>
      </c>
      <c r="C4" s="22" t="s">
        <v>72</v>
      </c>
      <c r="D4" s="22" t="s">
        <v>73</v>
      </c>
      <c r="E4" s="23">
        <v>2</v>
      </c>
      <c r="F4" s="24" t="s">
        <v>74</v>
      </c>
      <c r="G4" s="22" t="s">
        <v>75</v>
      </c>
    </row>
    <row r="5" spans="1:7" ht="37.5" x14ac:dyDescent="0.35">
      <c r="A5" s="25">
        <v>4</v>
      </c>
      <c r="B5" s="26" t="s">
        <v>25</v>
      </c>
      <c r="C5" s="27" t="s">
        <v>76</v>
      </c>
      <c r="D5" s="27" t="s">
        <v>77</v>
      </c>
      <c r="E5" s="28">
        <v>2</v>
      </c>
      <c r="F5" s="29" t="s">
        <v>78</v>
      </c>
      <c r="G5" s="27" t="s">
        <v>79</v>
      </c>
    </row>
    <row r="6" spans="1:7" ht="37.5" x14ac:dyDescent="0.35">
      <c r="A6" s="20">
        <v>5</v>
      </c>
      <c r="B6" s="21" t="s">
        <v>25</v>
      </c>
      <c r="C6" s="22" t="s">
        <v>80</v>
      </c>
      <c r="D6" s="22" t="s">
        <v>81</v>
      </c>
      <c r="E6" s="23">
        <v>1</v>
      </c>
      <c r="F6" s="24" t="s">
        <v>82</v>
      </c>
      <c r="G6" s="22" t="s">
        <v>83</v>
      </c>
    </row>
    <row r="7" spans="1:7" ht="37.5" x14ac:dyDescent="0.35">
      <c r="A7" s="25">
        <v>6</v>
      </c>
      <c r="B7" s="26" t="s">
        <v>27</v>
      </c>
      <c r="C7" s="27" t="s">
        <v>84</v>
      </c>
      <c r="D7" s="27" t="s">
        <v>85</v>
      </c>
      <c r="E7" s="28">
        <v>2</v>
      </c>
      <c r="F7" s="29" t="s">
        <v>86</v>
      </c>
      <c r="G7" s="27" t="s">
        <v>87</v>
      </c>
    </row>
    <row r="8" spans="1:7" ht="37.5" x14ac:dyDescent="0.35">
      <c r="A8" s="20">
        <v>7</v>
      </c>
      <c r="B8" s="21" t="s">
        <v>27</v>
      </c>
      <c r="C8" s="22" t="s">
        <v>88</v>
      </c>
      <c r="D8" s="22" t="s">
        <v>89</v>
      </c>
      <c r="E8" s="23">
        <v>2</v>
      </c>
      <c r="F8" s="24" t="s">
        <v>90</v>
      </c>
      <c r="G8" s="22" t="s">
        <v>91</v>
      </c>
    </row>
    <row r="9" spans="1:7" ht="37.5" x14ac:dyDescent="0.35">
      <c r="A9" s="25">
        <v>8</v>
      </c>
      <c r="B9" s="26" t="s">
        <v>27</v>
      </c>
      <c r="C9" s="27" t="s">
        <v>92</v>
      </c>
      <c r="D9" s="27" t="s">
        <v>93</v>
      </c>
      <c r="E9" s="28">
        <v>2</v>
      </c>
      <c r="F9" s="29" t="s">
        <v>94</v>
      </c>
      <c r="G9" s="27" t="s">
        <v>95</v>
      </c>
    </row>
    <row r="10" spans="1:7" ht="37.5" x14ac:dyDescent="0.35">
      <c r="A10" s="20">
        <v>9</v>
      </c>
      <c r="B10" s="21" t="s">
        <v>27</v>
      </c>
      <c r="C10" s="22" t="s">
        <v>96</v>
      </c>
      <c r="D10" s="22" t="s">
        <v>97</v>
      </c>
      <c r="E10" s="23">
        <v>2</v>
      </c>
      <c r="F10" s="24" t="s">
        <v>98</v>
      </c>
      <c r="G10" s="22" t="s">
        <v>99</v>
      </c>
    </row>
    <row r="11" spans="1:7" ht="37.5" x14ac:dyDescent="0.35">
      <c r="A11" s="25">
        <v>10</v>
      </c>
      <c r="B11" s="26" t="s">
        <v>27</v>
      </c>
      <c r="C11" s="27" t="s">
        <v>100</v>
      </c>
      <c r="D11" s="27" t="s">
        <v>101</v>
      </c>
      <c r="E11" s="28">
        <v>2</v>
      </c>
      <c r="F11" s="29" t="s">
        <v>102</v>
      </c>
      <c r="G11" s="27" t="s">
        <v>103</v>
      </c>
    </row>
    <row r="12" spans="1:7" ht="37.5" x14ac:dyDescent="0.35">
      <c r="A12" s="20">
        <v>11</v>
      </c>
      <c r="B12" s="21" t="s">
        <v>29</v>
      </c>
      <c r="C12" s="22" t="s">
        <v>104</v>
      </c>
      <c r="D12" s="22" t="s">
        <v>105</v>
      </c>
      <c r="E12" s="23">
        <v>1</v>
      </c>
      <c r="F12" s="24" t="s">
        <v>106</v>
      </c>
      <c r="G12" s="22" t="s">
        <v>107</v>
      </c>
    </row>
    <row r="13" spans="1:7" ht="37.5" x14ac:dyDescent="0.35">
      <c r="A13" s="25">
        <v>12</v>
      </c>
      <c r="B13" s="26" t="s">
        <v>29</v>
      </c>
      <c r="C13" s="27" t="s">
        <v>108</v>
      </c>
      <c r="D13" s="27" t="s">
        <v>109</v>
      </c>
      <c r="E13" s="28">
        <v>1</v>
      </c>
      <c r="F13" s="29" t="s">
        <v>110</v>
      </c>
      <c r="G13" s="27" t="s">
        <v>111</v>
      </c>
    </row>
    <row r="14" spans="1:7" ht="37.5" x14ac:dyDescent="0.35">
      <c r="A14" s="20">
        <v>13</v>
      </c>
      <c r="B14" s="21" t="s">
        <v>29</v>
      </c>
      <c r="C14" s="22" t="s">
        <v>112</v>
      </c>
      <c r="D14" s="22" t="s">
        <v>113</v>
      </c>
      <c r="E14" s="23">
        <v>1</v>
      </c>
      <c r="F14" s="24" t="s">
        <v>114</v>
      </c>
      <c r="G14" s="22" t="s">
        <v>115</v>
      </c>
    </row>
    <row r="15" spans="1:7" ht="37.5" x14ac:dyDescent="0.35">
      <c r="A15" s="25">
        <v>14</v>
      </c>
      <c r="B15" s="26" t="s">
        <v>29</v>
      </c>
      <c r="C15" s="27" t="s">
        <v>116</v>
      </c>
      <c r="D15" s="27" t="s">
        <v>117</v>
      </c>
      <c r="E15" s="28">
        <v>2</v>
      </c>
      <c r="F15" s="29" t="s">
        <v>118</v>
      </c>
      <c r="G15" s="27" t="s">
        <v>119</v>
      </c>
    </row>
    <row r="16" spans="1:7" ht="36" x14ac:dyDescent="0.35">
      <c r="A16" s="20">
        <v>15</v>
      </c>
      <c r="B16" s="21" t="s">
        <v>29</v>
      </c>
      <c r="C16" s="22" t="s">
        <v>120</v>
      </c>
      <c r="D16" s="22" t="s">
        <v>121</v>
      </c>
      <c r="E16" s="23">
        <v>1</v>
      </c>
      <c r="F16" s="24" t="s">
        <v>122</v>
      </c>
      <c r="G16" s="22" t="s">
        <v>123</v>
      </c>
    </row>
    <row r="17" spans="1:7" ht="37.5" x14ac:dyDescent="0.35">
      <c r="A17" s="25">
        <v>16</v>
      </c>
      <c r="B17" s="26" t="s">
        <v>31</v>
      </c>
      <c r="C17" s="27" t="s">
        <v>124</v>
      </c>
      <c r="D17" s="27" t="s">
        <v>125</v>
      </c>
      <c r="E17" s="28">
        <v>2</v>
      </c>
      <c r="F17" s="29" t="s">
        <v>126</v>
      </c>
      <c r="G17" s="27" t="s">
        <v>127</v>
      </c>
    </row>
    <row r="18" spans="1:7" ht="37.5" x14ac:dyDescent="0.35">
      <c r="A18" s="20">
        <v>17</v>
      </c>
      <c r="B18" s="21" t="s">
        <v>31</v>
      </c>
      <c r="C18" s="22" t="s">
        <v>128</v>
      </c>
      <c r="D18" s="22" t="s">
        <v>129</v>
      </c>
      <c r="E18" s="23">
        <v>2</v>
      </c>
      <c r="F18" s="24" t="s">
        <v>130</v>
      </c>
      <c r="G18" s="22" t="s">
        <v>131</v>
      </c>
    </row>
    <row r="19" spans="1:7" ht="37.5" x14ac:dyDescent="0.35">
      <c r="A19" s="25">
        <v>18</v>
      </c>
      <c r="B19" s="26" t="s">
        <v>31</v>
      </c>
      <c r="C19" s="27" t="s">
        <v>132</v>
      </c>
      <c r="D19" s="27" t="s">
        <v>133</v>
      </c>
      <c r="E19" s="28">
        <v>2</v>
      </c>
      <c r="F19" s="29" t="s">
        <v>134</v>
      </c>
      <c r="G19" s="27" t="s">
        <v>135</v>
      </c>
    </row>
    <row r="20" spans="1:7" ht="37.5" x14ac:dyDescent="0.35">
      <c r="A20" s="20">
        <v>19</v>
      </c>
      <c r="B20" s="21" t="s">
        <v>31</v>
      </c>
      <c r="C20" s="22" t="s">
        <v>136</v>
      </c>
      <c r="D20" s="22" t="s">
        <v>137</v>
      </c>
      <c r="E20" s="23">
        <v>2</v>
      </c>
      <c r="F20" s="24" t="s">
        <v>138</v>
      </c>
      <c r="G20" s="22" t="s">
        <v>139</v>
      </c>
    </row>
    <row r="21" spans="1:7" ht="25" x14ac:dyDescent="0.35">
      <c r="A21" s="25">
        <v>20</v>
      </c>
      <c r="B21" s="26" t="s">
        <v>31</v>
      </c>
      <c r="C21" s="27" t="s">
        <v>140</v>
      </c>
      <c r="D21" s="27" t="s">
        <v>141</v>
      </c>
      <c r="E21" s="28">
        <v>2</v>
      </c>
      <c r="F21" s="29" t="s">
        <v>142</v>
      </c>
      <c r="G21" s="27" t="s">
        <v>143</v>
      </c>
    </row>
    <row r="22" spans="1:7" ht="36" x14ac:dyDescent="0.35">
      <c r="A22" s="20">
        <v>21</v>
      </c>
      <c r="B22" s="21" t="s">
        <v>33</v>
      </c>
      <c r="C22" s="22" t="s">
        <v>144</v>
      </c>
      <c r="D22" s="22" t="s">
        <v>145</v>
      </c>
      <c r="E22" s="23">
        <v>2</v>
      </c>
      <c r="F22" s="24" t="s">
        <v>146</v>
      </c>
      <c r="G22" s="22" t="s">
        <v>147</v>
      </c>
    </row>
    <row r="23" spans="1:7" ht="37.5" x14ac:dyDescent="0.35">
      <c r="A23" s="25">
        <v>22</v>
      </c>
      <c r="B23" s="26" t="s">
        <v>33</v>
      </c>
      <c r="C23" s="27" t="s">
        <v>148</v>
      </c>
      <c r="D23" s="27" t="s">
        <v>149</v>
      </c>
      <c r="E23" s="28">
        <v>2</v>
      </c>
      <c r="F23" s="29" t="s">
        <v>150</v>
      </c>
      <c r="G23" s="27" t="s">
        <v>151</v>
      </c>
    </row>
    <row r="24" spans="1:7" ht="37.5" x14ac:dyDescent="0.35">
      <c r="A24" s="20">
        <v>23</v>
      </c>
      <c r="B24" s="21" t="s">
        <v>33</v>
      </c>
      <c r="C24" s="22" t="s">
        <v>152</v>
      </c>
      <c r="D24" s="22" t="s">
        <v>153</v>
      </c>
      <c r="E24" s="23">
        <v>1</v>
      </c>
      <c r="F24" s="24" t="s">
        <v>154</v>
      </c>
      <c r="G24" s="22" t="s">
        <v>155</v>
      </c>
    </row>
    <row r="25" spans="1:7" ht="37.5" x14ac:dyDescent="0.35">
      <c r="A25" s="25">
        <v>24</v>
      </c>
      <c r="B25" s="26" t="s">
        <v>33</v>
      </c>
      <c r="C25" s="27" t="s">
        <v>156</v>
      </c>
      <c r="D25" s="27" t="s">
        <v>157</v>
      </c>
      <c r="E25" s="28">
        <v>2</v>
      </c>
      <c r="F25" s="29" t="s">
        <v>158</v>
      </c>
      <c r="G25" s="27" t="s">
        <v>159</v>
      </c>
    </row>
    <row r="26" spans="1:7" ht="37.5" x14ac:dyDescent="0.35">
      <c r="A26" s="20">
        <v>25</v>
      </c>
      <c r="B26" s="21" t="s">
        <v>35</v>
      </c>
      <c r="C26" s="22" t="s">
        <v>160</v>
      </c>
      <c r="D26" s="22" t="s">
        <v>161</v>
      </c>
      <c r="E26" s="23">
        <v>2</v>
      </c>
      <c r="F26" s="24" t="s">
        <v>162</v>
      </c>
      <c r="G26" s="22" t="s">
        <v>163</v>
      </c>
    </row>
    <row r="27" spans="1:7" ht="25" x14ac:dyDescent="0.35">
      <c r="A27" s="25">
        <v>26</v>
      </c>
      <c r="B27" s="26" t="s">
        <v>35</v>
      </c>
      <c r="C27" s="27" t="s">
        <v>164</v>
      </c>
      <c r="D27" s="27" t="s">
        <v>165</v>
      </c>
      <c r="E27" s="28">
        <v>2</v>
      </c>
      <c r="F27" s="29" t="s">
        <v>166</v>
      </c>
      <c r="G27" s="27" t="s">
        <v>167</v>
      </c>
    </row>
    <row r="28" spans="1:7" ht="25" x14ac:dyDescent="0.35">
      <c r="A28" s="20">
        <v>27</v>
      </c>
      <c r="B28" s="21" t="s">
        <v>35</v>
      </c>
      <c r="C28" s="22" t="s">
        <v>168</v>
      </c>
      <c r="D28" s="22" t="s">
        <v>169</v>
      </c>
      <c r="E28" s="23">
        <v>2</v>
      </c>
      <c r="F28" s="24" t="s">
        <v>170</v>
      </c>
      <c r="G28" s="22" t="s">
        <v>171</v>
      </c>
    </row>
    <row r="29" spans="1:7" ht="36" x14ac:dyDescent="0.35">
      <c r="A29" s="25">
        <v>28</v>
      </c>
      <c r="B29" s="26" t="s">
        <v>35</v>
      </c>
      <c r="C29" s="27" t="s">
        <v>172</v>
      </c>
      <c r="D29" s="27" t="s">
        <v>173</v>
      </c>
      <c r="E29" s="28">
        <v>2</v>
      </c>
      <c r="F29" s="29" t="s">
        <v>174</v>
      </c>
      <c r="G29" s="27" t="s">
        <v>175</v>
      </c>
    </row>
    <row r="30" spans="1:7" ht="25" x14ac:dyDescent="0.35">
      <c r="A30" s="20">
        <v>29</v>
      </c>
      <c r="B30" s="21" t="s">
        <v>37</v>
      </c>
      <c r="C30" s="22" t="s">
        <v>176</v>
      </c>
      <c r="D30" s="22" t="s">
        <v>177</v>
      </c>
      <c r="E30" s="23">
        <v>1</v>
      </c>
      <c r="F30" s="24" t="s">
        <v>178</v>
      </c>
      <c r="G30" s="22" t="s">
        <v>179</v>
      </c>
    </row>
    <row r="31" spans="1:7" ht="37.5" x14ac:dyDescent="0.35">
      <c r="A31" s="25">
        <v>30</v>
      </c>
      <c r="B31" s="26" t="s">
        <v>37</v>
      </c>
      <c r="C31" s="27" t="s">
        <v>180</v>
      </c>
      <c r="D31" s="27" t="s">
        <v>181</v>
      </c>
      <c r="E31" s="28">
        <v>1</v>
      </c>
      <c r="F31" s="29" t="s">
        <v>182</v>
      </c>
      <c r="G31" s="27" t="s">
        <v>183</v>
      </c>
    </row>
    <row r="32" spans="1:7" ht="36" x14ac:dyDescent="0.35">
      <c r="A32" s="20">
        <v>31</v>
      </c>
      <c r="B32" s="21" t="s">
        <v>37</v>
      </c>
      <c r="C32" s="22" t="s">
        <v>184</v>
      </c>
      <c r="D32" s="22" t="s">
        <v>185</v>
      </c>
      <c r="E32" s="23">
        <v>1</v>
      </c>
      <c r="F32" s="24" t="s">
        <v>186</v>
      </c>
      <c r="G32" s="22" t="s">
        <v>187</v>
      </c>
    </row>
    <row r="33" spans="1:7" ht="37.5" x14ac:dyDescent="0.35">
      <c r="A33" s="25">
        <v>32</v>
      </c>
      <c r="B33" s="26" t="s">
        <v>37</v>
      </c>
      <c r="C33" s="27" t="s">
        <v>188</v>
      </c>
      <c r="D33" s="27" t="s">
        <v>189</v>
      </c>
      <c r="E33" s="28">
        <v>2</v>
      </c>
      <c r="F33" s="29" t="s">
        <v>190</v>
      </c>
      <c r="G33" s="27" t="s">
        <v>191</v>
      </c>
    </row>
    <row r="34" spans="1:7" ht="37.5" x14ac:dyDescent="0.35">
      <c r="A34" s="20">
        <v>33</v>
      </c>
      <c r="B34" s="21" t="s">
        <v>39</v>
      </c>
      <c r="C34" s="22" t="s">
        <v>192</v>
      </c>
      <c r="D34" s="22" t="s">
        <v>193</v>
      </c>
      <c r="E34" s="23">
        <v>2</v>
      </c>
      <c r="F34" s="24" t="s">
        <v>194</v>
      </c>
      <c r="G34" s="22" t="s">
        <v>195</v>
      </c>
    </row>
    <row r="35" spans="1:7" ht="37.5" x14ac:dyDescent="0.35">
      <c r="A35" s="25">
        <v>34</v>
      </c>
      <c r="B35" s="26" t="s">
        <v>39</v>
      </c>
      <c r="C35" s="27" t="s">
        <v>196</v>
      </c>
      <c r="D35" s="27" t="s">
        <v>197</v>
      </c>
      <c r="E35" s="28">
        <v>2</v>
      </c>
      <c r="F35" s="29" t="s">
        <v>198</v>
      </c>
      <c r="G35" s="27" t="s">
        <v>199</v>
      </c>
    </row>
    <row r="36" spans="1:7" ht="37.5" x14ac:dyDescent="0.35">
      <c r="A36" s="20">
        <v>35</v>
      </c>
      <c r="B36" s="21" t="s">
        <v>39</v>
      </c>
      <c r="C36" s="22" t="s">
        <v>200</v>
      </c>
      <c r="D36" s="22" t="s">
        <v>201</v>
      </c>
      <c r="E36" s="23">
        <v>2</v>
      </c>
      <c r="F36" s="24" t="s">
        <v>202</v>
      </c>
      <c r="G36" s="22" t="s">
        <v>203</v>
      </c>
    </row>
    <row r="37" spans="1:7" ht="25" x14ac:dyDescent="0.35">
      <c r="A37" s="25">
        <v>36</v>
      </c>
      <c r="B37" s="26" t="s">
        <v>39</v>
      </c>
      <c r="C37" s="27" t="s">
        <v>204</v>
      </c>
      <c r="D37" s="27" t="s">
        <v>205</v>
      </c>
      <c r="E37" s="28">
        <v>2</v>
      </c>
      <c r="F37" s="29" t="s">
        <v>206</v>
      </c>
      <c r="G37" s="27" t="s">
        <v>207</v>
      </c>
    </row>
    <row r="38" spans="1:7" ht="36" x14ac:dyDescent="0.35">
      <c r="A38" s="20">
        <v>37</v>
      </c>
      <c r="B38" s="21" t="s">
        <v>41</v>
      </c>
      <c r="C38" s="22" t="s">
        <v>208</v>
      </c>
      <c r="D38" s="22" t="s">
        <v>209</v>
      </c>
      <c r="E38" s="23">
        <v>2</v>
      </c>
      <c r="F38" s="24" t="s">
        <v>210</v>
      </c>
      <c r="G38" s="22" t="s">
        <v>211</v>
      </c>
    </row>
    <row r="39" spans="1:7" ht="25" x14ac:dyDescent="0.35">
      <c r="A39" s="25">
        <v>38</v>
      </c>
      <c r="B39" s="26" t="s">
        <v>41</v>
      </c>
      <c r="C39" s="27" t="s">
        <v>212</v>
      </c>
      <c r="D39" s="27" t="s">
        <v>213</v>
      </c>
      <c r="E39" s="28">
        <v>2</v>
      </c>
      <c r="F39" s="29" t="s">
        <v>214</v>
      </c>
      <c r="G39" s="27" t="s">
        <v>215</v>
      </c>
    </row>
    <row r="40" spans="1:7" ht="25" x14ac:dyDescent="0.35">
      <c r="A40" s="20">
        <v>39</v>
      </c>
      <c r="B40" s="21" t="s">
        <v>41</v>
      </c>
      <c r="C40" s="22" t="s">
        <v>216</v>
      </c>
      <c r="D40" s="22" t="s">
        <v>217</v>
      </c>
      <c r="E40" s="23">
        <v>2</v>
      </c>
      <c r="F40" s="24" t="s">
        <v>218</v>
      </c>
      <c r="G40" s="22" t="s">
        <v>219</v>
      </c>
    </row>
    <row r="41" spans="1:7" ht="25" x14ac:dyDescent="0.35">
      <c r="A41" s="25">
        <v>40</v>
      </c>
      <c r="B41" s="26" t="s">
        <v>41</v>
      </c>
      <c r="C41" s="27" t="s">
        <v>220</v>
      </c>
      <c r="D41" s="27" t="s">
        <v>221</v>
      </c>
      <c r="E41" s="28">
        <v>2</v>
      </c>
      <c r="F41" s="29" t="s">
        <v>222</v>
      </c>
      <c r="G41" s="27" t="s">
        <v>223</v>
      </c>
    </row>
    <row r="42" spans="1:7" ht="25" x14ac:dyDescent="0.35">
      <c r="A42" s="20">
        <v>41</v>
      </c>
      <c r="B42" s="21" t="s">
        <v>43</v>
      </c>
      <c r="C42" s="22" t="s">
        <v>224</v>
      </c>
      <c r="D42" s="22" t="s">
        <v>225</v>
      </c>
      <c r="E42" s="23">
        <v>2</v>
      </c>
      <c r="F42" s="24" t="s">
        <v>226</v>
      </c>
      <c r="G42" s="22" t="s">
        <v>227</v>
      </c>
    </row>
    <row r="43" spans="1:7" ht="25" x14ac:dyDescent="0.35">
      <c r="A43" s="25">
        <v>42</v>
      </c>
      <c r="B43" s="26" t="s">
        <v>43</v>
      </c>
      <c r="C43" s="27" t="s">
        <v>228</v>
      </c>
      <c r="D43" s="27" t="s">
        <v>229</v>
      </c>
      <c r="E43" s="28">
        <v>1</v>
      </c>
      <c r="F43" s="29" t="s">
        <v>230</v>
      </c>
      <c r="G43" s="27" t="s">
        <v>231</v>
      </c>
    </row>
    <row r="44" spans="1:7" ht="25" x14ac:dyDescent="0.35">
      <c r="A44" s="20">
        <v>43</v>
      </c>
      <c r="B44" s="21" t="s">
        <v>43</v>
      </c>
      <c r="C44" s="22" t="s">
        <v>232</v>
      </c>
      <c r="D44" s="22" t="s">
        <v>233</v>
      </c>
      <c r="E44" s="23">
        <v>1</v>
      </c>
      <c r="F44" s="24" t="s">
        <v>234</v>
      </c>
      <c r="G44" s="22" t="s">
        <v>235</v>
      </c>
    </row>
    <row r="45" spans="1:7" ht="25" x14ac:dyDescent="0.35">
      <c r="A45" s="25">
        <v>44</v>
      </c>
      <c r="B45" s="26" t="s">
        <v>43</v>
      </c>
      <c r="C45" s="27" t="s">
        <v>236</v>
      </c>
      <c r="D45" s="27" t="s">
        <v>237</v>
      </c>
      <c r="E45" s="28">
        <v>2</v>
      </c>
      <c r="F45" s="29" t="s">
        <v>238</v>
      </c>
      <c r="G45" s="27" t="s">
        <v>239</v>
      </c>
    </row>
    <row r="46" spans="1:7" ht="25" x14ac:dyDescent="0.35">
      <c r="A46" s="20">
        <v>45</v>
      </c>
      <c r="B46" s="21" t="s">
        <v>45</v>
      </c>
      <c r="C46" s="22" t="s">
        <v>240</v>
      </c>
      <c r="D46" s="22" t="s">
        <v>241</v>
      </c>
      <c r="E46" s="23">
        <v>2</v>
      </c>
      <c r="F46" s="24" t="s">
        <v>242</v>
      </c>
      <c r="G46" s="22" t="s">
        <v>243</v>
      </c>
    </row>
    <row r="47" spans="1:7" ht="25" x14ac:dyDescent="0.35">
      <c r="A47" s="25">
        <v>46</v>
      </c>
      <c r="B47" s="26" t="s">
        <v>45</v>
      </c>
      <c r="C47" s="27" t="s">
        <v>244</v>
      </c>
      <c r="D47" s="27" t="s">
        <v>245</v>
      </c>
      <c r="E47" s="28">
        <v>2</v>
      </c>
      <c r="F47" s="29" t="s">
        <v>246</v>
      </c>
      <c r="G47" s="27" t="s">
        <v>247</v>
      </c>
    </row>
    <row r="48" spans="1:7" ht="25" x14ac:dyDescent="0.35">
      <c r="A48" s="20">
        <v>47</v>
      </c>
      <c r="B48" s="21" t="s">
        <v>45</v>
      </c>
      <c r="C48" s="22" t="s">
        <v>248</v>
      </c>
      <c r="D48" s="22" t="s">
        <v>249</v>
      </c>
      <c r="E48" s="23">
        <v>1</v>
      </c>
      <c r="F48" s="24" t="s">
        <v>250</v>
      </c>
      <c r="G48" s="22" t="s">
        <v>251</v>
      </c>
    </row>
    <row r="49" spans="1:7" ht="25" x14ac:dyDescent="0.35">
      <c r="A49" s="25">
        <v>48</v>
      </c>
      <c r="B49" s="26" t="s">
        <v>47</v>
      </c>
      <c r="C49" s="27" t="s">
        <v>252</v>
      </c>
      <c r="D49" s="27" t="s">
        <v>253</v>
      </c>
      <c r="E49" s="28">
        <v>2</v>
      </c>
      <c r="F49" s="29" t="s">
        <v>254</v>
      </c>
      <c r="G49" s="27" t="s">
        <v>255</v>
      </c>
    </row>
    <row r="50" spans="1:7" ht="37.5" x14ac:dyDescent="0.35">
      <c r="A50" s="20">
        <v>49</v>
      </c>
      <c r="B50" s="21" t="s">
        <v>47</v>
      </c>
      <c r="C50" s="22" t="s">
        <v>256</v>
      </c>
      <c r="D50" s="22" t="s">
        <v>257</v>
      </c>
      <c r="E50" s="23">
        <v>1</v>
      </c>
      <c r="F50" s="24" t="s">
        <v>258</v>
      </c>
      <c r="G50" s="22" t="s">
        <v>259</v>
      </c>
    </row>
    <row r="51" spans="1:7" ht="25" x14ac:dyDescent="0.35">
      <c r="A51" s="25">
        <v>50</v>
      </c>
      <c r="B51" s="26" t="s">
        <v>47</v>
      </c>
      <c r="C51" s="27" t="s">
        <v>260</v>
      </c>
      <c r="D51" s="27" t="s">
        <v>261</v>
      </c>
      <c r="E51" s="28">
        <v>1</v>
      </c>
      <c r="F51" s="29" t="s">
        <v>262</v>
      </c>
      <c r="G51" s="27" t="s">
        <v>263</v>
      </c>
    </row>
    <row r="52" spans="1:7" ht="36" x14ac:dyDescent="0.35">
      <c r="A52" s="20">
        <v>51</v>
      </c>
      <c r="B52" s="21" t="s">
        <v>49</v>
      </c>
      <c r="C52" s="22" t="s">
        <v>264</v>
      </c>
      <c r="D52" s="22" t="s">
        <v>265</v>
      </c>
      <c r="E52" s="23">
        <v>1</v>
      </c>
      <c r="F52" s="24" t="s">
        <v>266</v>
      </c>
      <c r="G52" s="22" t="s">
        <v>267</v>
      </c>
    </row>
    <row r="53" spans="1:7" ht="25" x14ac:dyDescent="0.35">
      <c r="A53" s="25">
        <v>52</v>
      </c>
      <c r="B53" s="26" t="s">
        <v>49</v>
      </c>
      <c r="C53" s="27" t="s">
        <v>268</v>
      </c>
      <c r="D53" s="27" t="s">
        <v>269</v>
      </c>
      <c r="E53" s="28">
        <v>1</v>
      </c>
      <c r="F53" s="29" t="s">
        <v>270</v>
      </c>
      <c r="G53" s="27" t="s">
        <v>271</v>
      </c>
    </row>
    <row r="54" spans="1:7" ht="25" x14ac:dyDescent="0.35">
      <c r="A54" s="20">
        <v>53</v>
      </c>
      <c r="B54" s="21" t="s">
        <v>49</v>
      </c>
      <c r="C54" s="22" t="s">
        <v>272</v>
      </c>
      <c r="D54" s="22" t="s">
        <v>273</v>
      </c>
      <c r="E54" s="23">
        <v>1</v>
      </c>
      <c r="F54" s="24" t="s">
        <v>274</v>
      </c>
      <c r="G54" s="22" t="s">
        <v>275</v>
      </c>
    </row>
    <row r="55" spans="1:7" ht="36" x14ac:dyDescent="0.35">
      <c r="A55" s="25">
        <v>54</v>
      </c>
      <c r="B55" s="26" t="s">
        <v>51</v>
      </c>
      <c r="C55" s="27" t="s">
        <v>276</v>
      </c>
      <c r="D55" s="27" t="s">
        <v>277</v>
      </c>
      <c r="E55" s="28">
        <v>2</v>
      </c>
      <c r="F55" s="29" t="s">
        <v>278</v>
      </c>
      <c r="G55" s="27" t="s">
        <v>279</v>
      </c>
    </row>
    <row r="56" spans="1:7" ht="36" x14ac:dyDescent="0.35">
      <c r="A56" s="20">
        <v>55</v>
      </c>
      <c r="B56" s="21" t="s">
        <v>51</v>
      </c>
      <c r="C56" s="22" t="s">
        <v>280</v>
      </c>
      <c r="D56" s="22" t="s">
        <v>281</v>
      </c>
      <c r="E56" s="23">
        <v>2</v>
      </c>
      <c r="F56" s="24" t="s">
        <v>282</v>
      </c>
      <c r="G56" s="22" t="s">
        <v>283</v>
      </c>
    </row>
    <row r="57" spans="1:7" ht="37.5" x14ac:dyDescent="0.35">
      <c r="A57" s="25">
        <v>56</v>
      </c>
      <c r="B57" s="26" t="s">
        <v>51</v>
      </c>
      <c r="C57" s="27" t="s">
        <v>284</v>
      </c>
      <c r="D57" s="27" t="s">
        <v>285</v>
      </c>
      <c r="E57" s="28">
        <v>2</v>
      </c>
      <c r="F57" s="29" t="s">
        <v>286</v>
      </c>
      <c r="G57" s="27" t="s">
        <v>287</v>
      </c>
    </row>
    <row r="58" spans="1:7" ht="36" x14ac:dyDescent="0.35">
      <c r="A58" s="20">
        <v>57</v>
      </c>
      <c r="B58" s="21" t="s">
        <v>53</v>
      </c>
      <c r="C58" s="22" t="s">
        <v>288</v>
      </c>
      <c r="D58" s="22" t="s">
        <v>289</v>
      </c>
      <c r="E58" s="23">
        <v>2</v>
      </c>
      <c r="F58" s="24" t="s">
        <v>290</v>
      </c>
      <c r="G58" s="22" t="s">
        <v>291</v>
      </c>
    </row>
    <row r="59" spans="1:7" ht="37.5" x14ac:dyDescent="0.35">
      <c r="A59" s="25">
        <v>58</v>
      </c>
      <c r="B59" s="26" t="s">
        <v>53</v>
      </c>
      <c r="C59" s="27" t="s">
        <v>292</v>
      </c>
      <c r="D59" s="27" t="s">
        <v>293</v>
      </c>
      <c r="E59" s="28">
        <v>2</v>
      </c>
      <c r="F59" s="29" t="s">
        <v>294</v>
      </c>
      <c r="G59" s="27" t="s">
        <v>295</v>
      </c>
    </row>
    <row r="60" spans="1:7" ht="36" x14ac:dyDescent="0.35">
      <c r="A60" s="20">
        <v>59</v>
      </c>
      <c r="B60" s="21" t="s">
        <v>53</v>
      </c>
      <c r="C60" s="22" t="s">
        <v>296</v>
      </c>
      <c r="D60" s="22" t="s">
        <v>297</v>
      </c>
      <c r="E60" s="23">
        <v>1</v>
      </c>
      <c r="F60" s="24" t="s">
        <v>298</v>
      </c>
      <c r="G60" s="22" t="s">
        <v>299</v>
      </c>
    </row>
    <row r="61" spans="1:7" ht="37.5" x14ac:dyDescent="0.35">
      <c r="A61" s="25">
        <v>60</v>
      </c>
      <c r="B61" s="26" t="s">
        <v>53</v>
      </c>
      <c r="C61" s="27" t="s">
        <v>300</v>
      </c>
      <c r="D61" s="27" t="s">
        <v>301</v>
      </c>
      <c r="E61" s="28">
        <v>1</v>
      </c>
      <c r="F61" s="29" t="s">
        <v>302</v>
      </c>
      <c r="G61" s="27" t="s">
        <v>303</v>
      </c>
    </row>
    <row r="62" spans="1:7" ht="36" x14ac:dyDescent="0.35">
      <c r="A62" s="20">
        <v>61</v>
      </c>
      <c r="B62" s="21" t="s">
        <v>53</v>
      </c>
      <c r="C62" s="22" t="s">
        <v>304</v>
      </c>
      <c r="D62" s="22" t="s">
        <v>305</v>
      </c>
      <c r="E62" s="23">
        <v>2</v>
      </c>
      <c r="F62" s="24" t="s">
        <v>306</v>
      </c>
      <c r="G62" s="22" t="s">
        <v>307</v>
      </c>
    </row>
    <row r="63" spans="1:7" ht="36" x14ac:dyDescent="0.35">
      <c r="A63" s="25">
        <v>62</v>
      </c>
      <c r="B63" s="26" t="s">
        <v>53</v>
      </c>
      <c r="C63" s="27" t="s">
        <v>308</v>
      </c>
      <c r="D63" s="27" t="s">
        <v>309</v>
      </c>
      <c r="E63" s="28">
        <v>2</v>
      </c>
      <c r="F63" s="29" t="s">
        <v>310</v>
      </c>
      <c r="G63" s="27" t="s">
        <v>311</v>
      </c>
    </row>
  </sheetData>
  <conditionalFormatting sqref="E2:E63">
    <cfRule type="colorScale" priority="1">
      <colorScale>
        <cfvo type="num" val="1"/>
        <cfvo type="num" val="3"/>
        <cfvo type="num" val="5"/>
        <color rgb="FFF8D7DA"/>
        <color rgb="FFFFF3CD"/>
        <color rgb="FFD1E7DD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workbookViewId="0"/>
  </sheetViews>
  <sheetFormatPr defaultRowHeight="14.5" x14ac:dyDescent="0.35"/>
  <cols>
    <col min="1" max="1" width="30" customWidth="1"/>
    <col min="2" max="2" width="25" customWidth="1"/>
    <col min="3" max="3" width="22" customWidth="1"/>
    <col min="4" max="4" width="35" customWidth="1"/>
    <col min="5" max="5" width="45" customWidth="1"/>
    <col min="6" max="6" width="18" customWidth="1"/>
  </cols>
  <sheetData>
    <row r="1" spans="1:6" ht="20" x14ac:dyDescent="0.4">
      <c r="A1" s="1" t="s">
        <v>312</v>
      </c>
    </row>
    <row r="2" spans="1:6" x14ac:dyDescent="0.35">
      <c r="A2" s="2" t="s">
        <v>313</v>
      </c>
    </row>
    <row r="3" spans="1:6" ht="28" x14ac:dyDescent="0.35">
      <c r="A3" s="7" t="s">
        <v>314</v>
      </c>
      <c r="B3" s="7" t="s">
        <v>315</v>
      </c>
      <c r="C3" s="7" t="s">
        <v>316</v>
      </c>
      <c r="D3" s="7" t="s">
        <v>317</v>
      </c>
      <c r="E3" s="7" t="s">
        <v>318</v>
      </c>
      <c r="F3" s="7" t="s">
        <v>319</v>
      </c>
    </row>
    <row r="4" spans="1:6" ht="26" x14ac:dyDescent="0.35">
      <c r="A4" s="30" t="s">
        <v>320</v>
      </c>
      <c r="B4" s="30" t="s">
        <v>321</v>
      </c>
      <c r="C4" s="22" t="s">
        <v>322</v>
      </c>
      <c r="D4" s="30" t="s">
        <v>323</v>
      </c>
      <c r="E4" s="22" t="s">
        <v>324</v>
      </c>
      <c r="F4" s="22" t="s">
        <v>325</v>
      </c>
    </row>
    <row r="5" spans="1:6" ht="26" x14ac:dyDescent="0.35">
      <c r="A5" s="31" t="s">
        <v>320</v>
      </c>
      <c r="B5" s="31" t="s">
        <v>326</v>
      </c>
      <c r="C5" s="27" t="s">
        <v>327</v>
      </c>
      <c r="D5" s="31" t="s">
        <v>328</v>
      </c>
      <c r="E5" s="27" t="s">
        <v>329</v>
      </c>
      <c r="F5" s="27" t="s">
        <v>330</v>
      </c>
    </row>
    <row r="6" spans="1:6" ht="26" x14ac:dyDescent="0.35">
      <c r="A6" s="30" t="s">
        <v>320</v>
      </c>
      <c r="B6" s="30" t="s">
        <v>331</v>
      </c>
      <c r="C6" s="22" t="s">
        <v>332</v>
      </c>
      <c r="D6" s="30" t="s">
        <v>333</v>
      </c>
      <c r="E6" s="22" t="s">
        <v>334</v>
      </c>
      <c r="F6" s="22" t="s">
        <v>335</v>
      </c>
    </row>
    <row r="7" spans="1:6" ht="25" x14ac:dyDescent="0.35">
      <c r="A7" s="31" t="s">
        <v>336</v>
      </c>
      <c r="B7" s="31" t="s">
        <v>337</v>
      </c>
      <c r="C7" s="27" t="s">
        <v>327</v>
      </c>
      <c r="D7" s="31" t="s">
        <v>338</v>
      </c>
      <c r="E7" s="27" t="s">
        <v>339</v>
      </c>
      <c r="F7" s="27" t="s">
        <v>340</v>
      </c>
    </row>
    <row r="8" spans="1:6" ht="25" x14ac:dyDescent="0.35">
      <c r="A8" s="30" t="s">
        <v>336</v>
      </c>
      <c r="B8" s="30" t="s">
        <v>51</v>
      </c>
      <c r="C8" s="22" t="s">
        <v>341</v>
      </c>
      <c r="D8" s="30" t="s">
        <v>342</v>
      </c>
      <c r="E8" s="22" t="s">
        <v>343</v>
      </c>
      <c r="F8" s="22" t="s">
        <v>344</v>
      </c>
    </row>
    <row r="9" spans="1:6" ht="26" x14ac:dyDescent="0.35">
      <c r="A9" s="31" t="s">
        <v>336</v>
      </c>
      <c r="B9" s="31" t="s">
        <v>345</v>
      </c>
      <c r="C9" s="27" t="s">
        <v>346</v>
      </c>
      <c r="D9" s="31" t="s">
        <v>347</v>
      </c>
      <c r="E9" s="27" t="s">
        <v>348</v>
      </c>
      <c r="F9" s="27" t="s">
        <v>349</v>
      </c>
    </row>
    <row r="10" spans="1:6" ht="25" x14ac:dyDescent="0.35">
      <c r="A10" s="30" t="s">
        <v>350</v>
      </c>
      <c r="B10" s="30" t="s">
        <v>351</v>
      </c>
      <c r="C10" s="22" t="s">
        <v>346</v>
      </c>
      <c r="D10" s="30" t="s">
        <v>352</v>
      </c>
      <c r="E10" s="22" t="s">
        <v>353</v>
      </c>
      <c r="F10" s="22" t="s">
        <v>354</v>
      </c>
    </row>
    <row r="11" spans="1:6" ht="25" x14ac:dyDescent="0.35">
      <c r="A11" s="31" t="s">
        <v>350</v>
      </c>
      <c r="B11" s="31" t="s">
        <v>355</v>
      </c>
      <c r="C11" s="27" t="s">
        <v>356</v>
      </c>
      <c r="D11" s="31" t="s">
        <v>357</v>
      </c>
      <c r="E11" s="27" t="s">
        <v>358</v>
      </c>
      <c r="F11" s="27" t="s">
        <v>359</v>
      </c>
    </row>
    <row r="12" spans="1:6" ht="25" x14ac:dyDescent="0.35">
      <c r="A12" s="30" t="s">
        <v>350</v>
      </c>
      <c r="B12" s="30" t="s">
        <v>360</v>
      </c>
      <c r="C12" s="22" t="s">
        <v>327</v>
      </c>
      <c r="D12" s="30" t="s">
        <v>361</v>
      </c>
      <c r="E12" s="22" t="s">
        <v>362</v>
      </c>
      <c r="F12" s="22" t="s">
        <v>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Nisol Discovery Assessment</vt:lpstr>
      <vt:lpstr>Nisol Discovery Assessment1</vt:lpstr>
      <vt:lpstr>Nisol Studio 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Ssooraj Rauth</cp:lastModifiedBy>
  <dcterms:created xsi:type="dcterms:W3CDTF">2026-07-27T06:12:33Z</dcterms:created>
  <dcterms:modified xsi:type="dcterms:W3CDTF">2026-08-01T08:40:13Z</dcterms:modified>
</cp:coreProperties>
</file>