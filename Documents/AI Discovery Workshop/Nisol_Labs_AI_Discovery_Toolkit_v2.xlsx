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Nisol-Labs\Documents\AI Discovery Workshop\"/>
    </mc:Choice>
  </mc:AlternateContent>
  <xr:revisionPtr revIDLastSave="0" documentId="13_ncr:1_{711344AC-CA74-4E62-AFFA-C01207F7C0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DME" sheetId="1" r:id="rId1"/>
    <sheet name="Company Profile" sheetId="2" r:id="rId2"/>
    <sheet name="Executive Discovery" sheetId="3" r:id="rId3"/>
    <sheet name="Sales" sheetId="4" r:id="rId4"/>
    <sheet name="Marketing" sheetId="5" r:id="rId5"/>
    <sheet name="Customer Support" sheetId="6" r:id="rId6"/>
    <sheet name="HR" sheetId="7" r:id="rId7"/>
    <sheet name="Finance" sheetId="8" r:id="rId8"/>
    <sheet name="Operations" sheetId="9" r:id="rId9"/>
    <sheet name="IT" sheetId="10" r:id="rId10"/>
    <sheet name="Data" sheetId="11" r:id="rId11"/>
    <sheet name="AI Readiness" sheetId="12" r:id="rId12"/>
    <sheet name="Opportunity Matrix" sheetId="13" r:id="rId13"/>
    <sheet name="ROI Estimator" sheetId="14" r:id="rId14"/>
    <sheet name="Roadmap" sheetId="15" r:id="rId15"/>
    <sheet name="Risk Register" sheetId="16" r:id="rId16"/>
    <sheet name="Executive Summary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4" l="1"/>
  <c r="B7" i="14" s="1"/>
  <c r="D11" i="12"/>
  <c r="D10" i="12"/>
  <c r="D9" i="12"/>
  <c r="D8" i="12"/>
  <c r="D7" i="12"/>
  <c r="D6" i="12"/>
  <c r="D5" i="12"/>
  <c r="D4" i="12"/>
  <c r="D3" i="12"/>
  <c r="D2" i="12"/>
  <c r="G2" i="12" s="1"/>
  <c r="G15" i="11"/>
  <c r="G11" i="11"/>
  <c r="G10" i="11"/>
  <c r="G9" i="11"/>
  <c r="G8" i="11"/>
  <c r="G7" i="11"/>
  <c r="G6" i="11"/>
  <c r="G5" i="11"/>
  <c r="G4" i="11"/>
  <c r="G3" i="11"/>
  <c r="G2" i="11"/>
  <c r="G15" i="10"/>
  <c r="G11" i="10"/>
  <c r="G10" i="10"/>
  <c r="G9" i="10"/>
  <c r="G8" i="10"/>
  <c r="G7" i="10"/>
  <c r="G6" i="10"/>
  <c r="G5" i="10"/>
  <c r="G4" i="10"/>
  <c r="G3" i="10"/>
  <c r="G2" i="10"/>
  <c r="G11" i="9"/>
  <c r="G10" i="9"/>
  <c r="G9" i="9"/>
  <c r="G8" i="9"/>
  <c r="G7" i="9"/>
  <c r="G6" i="9"/>
  <c r="G5" i="9"/>
  <c r="G4" i="9"/>
  <c r="G3" i="9"/>
  <c r="G2" i="9"/>
  <c r="G15" i="9" s="1"/>
  <c r="G11" i="8"/>
  <c r="G10" i="8"/>
  <c r="G9" i="8"/>
  <c r="G8" i="8"/>
  <c r="G7" i="8"/>
  <c r="G6" i="8"/>
  <c r="G5" i="8"/>
  <c r="G4" i="8"/>
  <c r="G3" i="8"/>
  <c r="G2" i="8"/>
  <c r="G15" i="8" s="1"/>
  <c r="G11" i="7"/>
  <c r="G10" i="7"/>
  <c r="G9" i="7"/>
  <c r="G8" i="7"/>
  <c r="G7" i="7"/>
  <c r="G6" i="7"/>
  <c r="G5" i="7"/>
  <c r="G4" i="7"/>
  <c r="G3" i="7"/>
  <c r="G2" i="7"/>
  <c r="G15" i="7" s="1"/>
  <c r="G11" i="6"/>
  <c r="G10" i="6"/>
  <c r="G9" i="6"/>
  <c r="G8" i="6"/>
  <c r="G7" i="6"/>
  <c r="G6" i="6"/>
  <c r="G5" i="6"/>
  <c r="G4" i="6"/>
  <c r="G3" i="6"/>
  <c r="G15" i="6" s="1"/>
  <c r="G2" i="6"/>
  <c r="G15" i="5"/>
  <c r="G11" i="5"/>
  <c r="G10" i="5"/>
  <c r="G9" i="5"/>
  <c r="G8" i="5"/>
  <c r="G7" i="5"/>
  <c r="G6" i="5"/>
  <c r="G5" i="5"/>
  <c r="G4" i="5"/>
  <c r="G3" i="5"/>
  <c r="G2" i="5"/>
  <c r="G11" i="4"/>
  <c r="G10" i="4"/>
  <c r="G9" i="4"/>
  <c r="G8" i="4"/>
  <c r="G7" i="4"/>
  <c r="G6" i="4"/>
  <c r="G5" i="4"/>
  <c r="G4" i="4"/>
  <c r="G3" i="4"/>
  <c r="G2" i="4"/>
  <c r="G15" i="4" s="1"/>
  <c r="B3" i="17" l="1"/>
  <c r="G3" i="12"/>
  <c r="B4" i="17" s="1"/>
</calcChain>
</file>

<file path=xl/sharedStrings.xml><?xml version="1.0" encoding="utf-8"?>
<sst xmlns="http://schemas.openxmlformats.org/spreadsheetml/2006/main" count="250" uniqueCount="156">
  <si>
    <t>Nisol Labs AI Discovery Toolkit v2</t>
  </si>
  <si>
    <t>Professional Consulting Workbook</t>
  </si>
  <si>
    <t>Workflow:</t>
  </si>
  <si>
    <t>1. Pre-Workshop Questionnaire</t>
  </si>
  <si>
    <t>2. Executive Discovery</t>
  </si>
  <si>
    <t>3. Department Workshops</t>
  </si>
  <si>
    <t>4. AI Readiness Assessment</t>
  </si>
  <si>
    <t>5. Opportunity Prioritization</t>
  </si>
  <si>
    <t>6. ROI Estimation</t>
  </si>
  <si>
    <t>7. Roadmap</t>
  </si>
  <si>
    <t>8. Executive Summary</t>
  </si>
  <si>
    <t>Field</t>
  </si>
  <si>
    <t>Value</t>
  </si>
  <si>
    <t>Company Name</t>
  </si>
  <si>
    <t>Industry</t>
  </si>
  <si>
    <t>Employees</t>
  </si>
  <si>
    <t>Revenue</t>
  </si>
  <si>
    <t>Locations</t>
  </si>
  <si>
    <t>Website</t>
  </si>
  <si>
    <t>ERP</t>
  </si>
  <si>
    <t>CRM</t>
  </si>
  <si>
    <t>HRMS</t>
  </si>
  <si>
    <t>Cloud</t>
  </si>
  <si>
    <t>Primary Contact</t>
  </si>
  <si>
    <t>Workshop Date</t>
  </si>
  <si>
    <t>Question</t>
  </si>
  <si>
    <t>Response</t>
  </si>
  <si>
    <t>Importance(1-5)</t>
  </si>
  <si>
    <t>Notes</t>
  </si>
  <si>
    <t>Top 3 strategic objectives</t>
  </si>
  <si>
    <t>Top operational challenges</t>
  </si>
  <si>
    <t>Growth targets</t>
  </si>
  <si>
    <t>Customer experience goals</t>
  </si>
  <si>
    <t>Cost reduction goals</t>
  </si>
  <si>
    <t>Innovation priorities</t>
  </si>
  <si>
    <t>Why AI now?</t>
  </si>
  <si>
    <t>Budget available</t>
  </si>
  <si>
    <t>Executive sponsor</t>
  </si>
  <si>
    <t>Success metrics</t>
  </si>
  <si>
    <t>Timeline</t>
  </si>
  <si>
    <t>Biggest risks</t>
  </si>
  <si>
    <t>Process/Question</t>
  </si>
  <si>
    <t>Pain(1-5)</t>
  </si>
  <si>
    <t>Business Impact(1-5)</t>
  </si>
  <si>
    <t>AI Potential(1-5)</t>
  </si>
  <si>
    <t>Complexity(1-5)</t>
  </si>
  <si>
    <t>Priority Score</t>
  </si>
  <si>
    <t>Recommended AI Solution</t>
  </si>
  <si>
    <t>Lead generation</t>
  </si>
  <si>
    <t>Lead qualification</t>
  </si>
  <si>
    <t>CRM adoption</t>
  </si>
  <si>
    <t>Proposal creation</t>
  </si>
  <si>
    <t>Sales forecasting</t>
  </si>
  <si>
    <t>Customer follow-up</t>
  </si>
  <si>
    <t>Pricing approvals</t>
  </si>
  <si>
    <t>Reporting</t>
  </si>
  <si>
    <t>Top pain points</t>
  </si>
  <si>
    <t>AI ideas</t>
  </si>
  <si>
    <t>Average Priority</t>
  </si>
  <si>
    <t>Campaign planning</t>
  </si>
  <si>
    <t>Content creation</t>
  </si>
  <si>
    <t>SEO</t>
  </si>
  <si>
    <t>Social media</t>
  </si>
  <si>
    <t>Email marketing</t>
  </si>
  <si>
    <t>Lead nurturing</t>
  </si>
  <si>
    <t>Analytics</t>
  </si>
  <si>
    <t>Brand management</t>
  </si>
  <si>
    <t>Pain points</t>
  </si>
  <si>
    <t>Ticketing</t>
  </si>
  <si>
    <t>Email support</t>
  </si>
  <si>
    <t>Chat</t>
  </si>
  <si>
    <t>Knowledge base</t>
  </si>
  <si>
    <t>Escalations</t>
  </si>
  <si>
    <t>SLA</t>
  </si>
  <si>
    <t>Customer feedback</t>
  </si>
  <si>
    <t>Agent productivity</t>
  </si>
  <si>
    <t>Recruitment</t>
  </si>
  <si>
    <t>Resume screening</t>
  </si>
  <si>
    <t>Onboarding</t>
  </si>
  <si>
    <t>Training</t>
  </si>
  <si>
    <t>Performance</t>
  </si>
  <si>
    <t>Employee queries</t>
  </si>
  <si>
    <t>Policies</t>
  </si>
  <si>
    <t>Attrition</t>
  </si>
  <si>
    <t>Invoice processing</t>
  </si>
  <si>
    <t>AP</t>
  </si>
  <si>
    <t>AR</t>
  </si>
  <si>
    <t>Expense claims</t>
  </si>
  <si>
    <t>Budgeting</t>
  </si>
  <si>
    <t>Forecasting</t>
  </si>
  <si>
    <t>Compliance</t>
  </si>
  <si>
    <t>Production</t>
  </si>
  <si>
    <t>Inventory</t>
  </si>
  <si>
    <t>Supply chain</t>
  </si>
  <si>
    <t>Procurement</t>
  </si>
  <si>
    <t>Scheduling</t>
  </si>
  <si>
    <t>Quality</t>
  </si>
  <si>
    <t>Maintenance</t>
  </si>
  <si>
    <t>Planning</t>
  </si>
  <si>
    <t>Infrastructure</t>
  </si>
  <si>
    <t>Applications</t>
  </si>
  <si>
    <t>Security</t>
  </si>
  <si>
    <t>Helpdesk</t>
  </si>
  <si>
    <t>Monitoring</t>
  </si>
  <si>
    <t>DevOps</t>
  </si>
  <si>
    <t>Incident management</t>
  </si>
  <si>
    <t>Data sources</t>
  </si>
  <si>
    <t>Warehouse</t>
  </si>
  <si>
    <t>BI</t>
  </si>
  <si>
    <t>Master data</t>
  </si>
  <si>
    <t>Metadata</t>
  </si>
  <si>
    <t>Governance</t>
  </si>
  <si>
    <t>Capability</t>
  </si>
  <si>
    <t>Score(1-5)</t>
  </si>
  <si>
    <t>Weight</t>
  </si>
  <si>
    <t>Weighted Score</t>
  </si>
  <si>
    <t>Leadership</t>
  </si>
  <si>
    <t>Overall %</t>
  </si>
  <si>
    <t>Strategy</t>
  </si>
  <si>
    <t>Level</t>
  </si>
  <si>
    <t>Data</t>
  </si>
  <si>
    <t>Technology</t>
  </si>
  <si>
    <t>Culture</t>
  </si>
  <si>
    <t>Skills</t>
  </si>
  <si>
    <t>Change Mgmt</t>
  </si>
  <si>
    <t>Architecture</t>
  </si>
  <si>
    <t>Department</t>
  </si>
  <si>
    <t>Use Case</t>
  </si>
  <si>
    <t>Business Value</t>
  </si>
  <si>
    <t>Complexity</t>
  </si>
  <si>
    <t>Priority</t>
  </si>
  <si>
    <t>ROI</t>
  </si>
  <si>
    <t>Recommendation</t>
  </si>
  <si>
    <t>Metric</t>
  </si>
  <si>
    <t>Employees impacted</t>
  </si>
  <si>
    <t>Hours saved/week</t>
  </si>
  <si>
    <t>Hourly cost</t>
  </si>
  <si>
    <t>Annual Savings</t>
  </si>
  <si>
    <t>Implementation Cost</t>
  </si>
  <si>
    <t>Payback (Months)</t>
  </si>
  <si>
    <t>Quarter</t>
  </si>
  <si>
    <t>Initiative</t>
  </si>
  <si>
    <t>Owner</t>
  </si>
  <si>
    <t>Status</t>
  </si>
  <si>
    <t>Business Outcome</t>
  </si>
  <si>
    <t>Q1</t>
  </si>
  <si>
    <t>Q2</t>
  </si>
  <si>
    <t>Q3</t>
  </si>
  <si>
    <t>Q4</t>
  </si>
  <si>
    <t>Risk</t>
  </si>
  <si>
    <t>Impact</t>
  </si>
  <si>
    <t>Likelihood</t>
  </si>
  <si>
    <t>Mitigation</t>
  </si>
  <si>
    <t>Populate this sheet after workshop.</t>
  </si>
  <si>
    <t>Overall AI Readiness:</t>
  </si>
  <si>
    <t>Maturity: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</si>
</sst>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B14" sqref="B14"/>
    </sheetView>
  </sheetViews>
  <sheetFormatPr defaultRowHeight="14.5" x14ac:dyDescent="0.35"/>
  <cols>
    <col min="1" max="1" width="29.816406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E8" sqref="E8"/>
    </sheetView>
  </sheetViews>
  <sheetFormatPr defaultRowHeight="14.5" x14ac:dyDescent="0.35"/>
  <cols>
    <col min="1" max="1" width="14.1796875" bestFit="1" customWidth="1"/>
    <col min="2" max="2" width="5.54296875" bestFit="1" customWidth="1"/>
  </cols>
  <sheetData>
    <row r="1" spans="1:2" x14ac:dyDescent="0.35">
      <c r="A1" s="1" t="s">
        <v>11</v>
      </c>
      <c r="B1" s="1" t="s">
        <v>12</v>
      </c>
    </row>
    <row r="2" spans="1:2" x14ac:dyDescent="0.35">
      <c r="A2" t="s">
        <v>13</v>
      </c>
    </row>
    <row r="3" spans="1:2" x14ac:dyDescent="0.35">
      <c r="A3" t="s">
        <v>14</v>
      </c>
    </row>
    <row r="4" spans="1:2" x14ac:dyDescent="0.35">
      <c r="A4" t="s">
        <v>15</v>
      </c>
    </row>
    <row r="5" spans="1:2" x14ac:dyDescent="0.35">
      <c r="A5" t="s">
        <v>16</v>
      </c>
    </row>
    <row r="6" spans="1:2" x14ac:dyDescent="0.35">
      <c r="A6" t="s">
        <v>17</v>
      </c>
    </row>
    <row r="7" spans="1:2" x14ac:dyDescent="0.35">
      <c r="A7" t="s">
        <v>18</v>
      </c>
    </row>
    <row r="8" spans="1:2" x14ac:dyDescent="0.35">
      <c r="A8" t="s">
        <v>19</v>
      </c>
    </row>
    <row r="9" spans="1:2" x14ac:dyDescent="0.35">
      <c r="A9" t="s">
        <v>20</v>
      </c>
    </row>
    <row r="10" spans="1:2" x14ac:dyDescent="0.35">
      <c r="A10" t="s">
        <v>21</v>
      </c>
    </row>
    <row r="11" spans="1:2" x14ac:dyDescent="0.35">
      <c r="A11" t="s">
        <v>22</v>
      </c>
    </row>
    <row r="12" spans="1:2" x14ac:dyDescent="0.35">
      <c r="A12" t="s">
        <v>23</v>
      </c>
    </row>
    <row r="13" spans="1:2" x14ac:dyDescent="0.35">
      <c r="A13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C8" sqref="C8"/>
    </sheetView>
  </sheetViews>
  <sheetFormatPr defaultRowHeight="14.5" x14ac:dyDescent="0.35"/>
  <cols>
    <col min="1" max="1" width="23.453125" bestFit="1" customWidth="1"/>
    <col min="2" max="2" width="8.81640625" bestFit="1" customWidth="1"/>
    <col min="3" max="3" width="14.54296875" bestFit="1" customWidth="1"/>
    <col min="4" max="4" width="5.7265625" bestFit="1" customWidth="1"/>
  </cols>
  <sheetData>
    <row r="1" spans="1:4" x14ac:dyDescent="0.3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35">
      <c r="A2" t="s">
        <v>29</v>
      </c>
    </row>
    <row r="3" spans="1:4" x14ac:dyDescent="0.35">
      <c r="A3" t="s">
        <v>30</v>
      </c>
    </row>
    <row r="4" spans="1:4" x14ac:dyDescent="0.35">
      <c r="A4" t="s">
        <v>31</v>
      </c>
    </row>
    <row r="5" spans="1:4" x14ac:dyDescent="0.35">
      <c r="A5" t="s">
        <v>32</v>
      </c>
    </row>
    <row r="6" spans="1:4" x14ac:dyDescent="0.35">
      <c r="A6" t="s">
        <v>33</v>
      </c>
    </row>
    <row r="7" spans="1:4" x14ac:dyDescent="0.35">
      <c r="A7" t="s">
        <v>34</v>
      </c>
    </row>
    <row r="8" spans="1:4" x14ac:dyDescent="0.35">
      <c r="A8" t="s">
        <v>35</v>
      </c>
    </row>
    <row r="9" spans="1:4" x14ac:dyDescent="0.35">
      <c r="A9" t="s">
        <v>36</v>
      </c>
    </row>
    <row r="10" spans="1:4" x14ac:dyDescent="0.35">
      <c r="A10" t="s">
        <v>37</v>
      </c>
    </row>
    <row r="11" spans="1:4" x14ac:dyDescent="0.35">
      <c r="A11" t="s">
        <v>38</v>
      </c>
    </row>
    <row r="12" spans="1:4" x14ac:dyDescent="0.35">
      <c r="A12" t="s">
        <v>39</v>
      </c>
    </row>
    <row r="13" spans="1:4" x14ac:dyDescent="0.35">
      <c r="A13" t="s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workbookViewId="0">
      <selection sqref="A1:A1048576"/>
    </sheetView>
  </sheetViews>
  <sheetFormatPr defaultRowHeight="14.5" x14ac:dyDescent="0.35"/>
  <cols>
    <col min="1" max="1" width="17.54296875" bestFit="1" customWidth="1"/>
    <col min="2" max="2" width="8.81640625" bestFit="1" customWidth="1"/>
    <col min="3" max="3" width="8.36328125" bestFit="1" customWidth="1"/>
    <col min="4" max="4" width="18.36328125" bestFit="1" customWidth="1"/>
    <col min="5" max="5" width="14.6328125" bestFit="1" customWidth="1"/>
    <col min="6" max="6" width="14.1796875" bestFit="1" customWidth="1"/>
    <col min="7" max="7" width="12" bestFit="1" customWidth="1"/>
    <col min="8" max="8" width="23.1796875" bestFit="1" customWidth="1"/>
    <col min="9" max="9" width="5.7265625" bestFit="1" customWidth="1"/>
  </cols>
  <sheetData>
    <row r="1" spans="1:9" x14ac:dyDescent="0.35">
      <c r="A1" s="1" t="s">
        <v>41</v>
      </c>
      <c r="B1" s="1" t="s">
        <v>26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28</v>
      </c>
    </row>
    <row r="2" spans="1:9" x14ac:dyDescent="0.35">
      <c r="A2" t="s">
        <v>48</v>
      </c>
      <c r="G2">
        <f t="shared" ref="G2:G11" si="0">(C2*0.3)+(D2*0.4)+(E2*0.3)-F2*0.1</f>
        <v>0</v>
      </c>
    </row>
    <row r="3" spans="1:9" x14ac:dyDescent="0.35">
      <c r="A3" t="s">
        <v>49</v>
      </c>
      <c r="G3">
        <f t="shared" si="0"/>
        <v>0</v>
      </c>
    </row>
    <row r="4" spans="1:9" x14ac:dyDescent="0.35">
      <c r="A4" t="s">
        <v>50</v>
      </c>
      <c r="G4">
        <f t="shared" si="0"/>
        <v>0</v>
      </c>
    </row>
    <row r="5" spans="1:9" x14ac:dyDescent="0.35">
      <c r="A5" t="s">
        <v>51</v>
      </c>
      <c r="G5">
        <f t="shared" si="0"/>
        <v>0</v>
      </c>
    </row>
    <row r="6" spans="1:9" x14ac:dyDescent="0.35">
      <c r="A6" t="s">
        <v>52</v>
      </c>
      <c r="G6">
        <f t="shared" si="0"/>
        <v>0</v>
      </c>
    </row>
    <row r="7" spans="1:9" x14ac:dyDescent="0.35">
      <c r="A7" t="s">
        <v>53</v>
      </c>
      <c r="G7">
        <f t="shared" si="0"/>
        <v>0</v>
      </c>
    </row>
    <row r="8" spans="1:9" x14ac:dyDescent="0.35">
      <c r="A8" t="s">
        <v>54</v>
      </c>
      <c r="G8">
        <f t="shared" si="0"/>
        <v>0</v>
      </c>
    </row>
    <row r="9" spans="1:9" x14ac:dyDescent="0.35">
      <c r="A9" t="s">
        <v>55</v>
      </c>
      <c r="G9">
        <f t="shared" si="0"/>
        <v>0</v>
      </c>
    </row>
    <row r="10" spans="1:9" x14ac:dyDescent="0.35">
      <c r="A10" t="s">
        <v>56</v>
      </c>
      <c r="G10">
        <f t="shared" si="0"/>
        <v>0</v>
      </c>
    </row>
    <row r="11" spans="1:9" x14ac:dyDescent="0.35">
      <c r="A11" t="s">
        <v>57</v>
      </c>
      <c r="G11">
        <f t="shared" si="0"/>
        <v>0</v>
      </c>
    </row>
    <row r="15" spans="1:9" x14ac:dyDescent="0.35">
      <c r="F15" t="s">
        <v>58</v>
      </c>
      <c r="G15">
        <f>AVERAGE(G2:G11)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"/>
  <sheetViews>
    <sheetView workbookViewId="0">
      <selection sqref="A1:XFD1048576"/>
    </sheetView>
  </sheetViews>
  <sheetFormatPr defaultRowHeight="14.5" x14ac:dyDescent="0.35"/>
  <cols>
    <col min="1" max="1" width="17.453125" bestFit="1" customWidth="1"/>
    <col min="2" max="2" width="8.81640625" bestFit="1" customWidth="1"/>
    <col min="3" max="3" width="8.36328125" bestFit="1" customWidth="1"/>
    <col min="4" max="4" width="18.36328125" bestFit="1" customWidth="1"/>
    <col min="5" max="5" width="14.6328125" bestFit="1" customWidth="1"/>
    <col min="6" max="6" width="14.1796875" bestFit="1" customWidth="1"/>
    <col min="7" max="7" width="12" bestFit="1" customWidth="1"/>
    <col min="8" max="8" width="23.1796875" bestFit="1" customWidth="1"/>
    <col min="9" max="9" width="5.7265625" bestFit="1" customWidth="1"/>
  </cols>
  <sheetData>
    <row r="1" spans="1:9" x14ac:dyDescent="0.35">
      <c r="A1" s="1" t="s">
        <v>41</v>
      </c>
      <c r="B1" s="1" t="s">
        <v>26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28</v>
      </c>
    </row>
    <row r="2" spans="1:9" x14ac:dyDescent="0.35">
      <c r="A2" t="s">
        <v>59</v>
      </c>
      <c r="G2">
        <f t="shared" ref="G2:G11" si="0">(C2*0.3)+(D2*0.4)+(E2*0.3)-F2*0.1</f>
        <v>0</v>
      </c>
    </row>
    <row r="3" spans="1:9" x14ac:dyDescent="0.35">
      <c r="A3" t="s">
        <v>60</v>
      </c>
      <c r="G3">
        <f t="shared" si="0"/>
        <v>0</v>
      </c>
    </row>
    <row r="4" spans="1:9" x14ac:dyDescent="0.35">
      <c r="A4" t="s">
        <v>61</v>
      </c>
      <c r="G4">
        <f t="shared" si="0"/>
        <v>0</v>
      </c>
    </row>
    <row r="5" spans="1:9" x14ac:dyDescent="0.35">
      <c r="A5" t="s">
        <v>62</v>
      </c>
      <c r="G5">
        <f t="shared" si="0"/>
        <v>0</v>
      </c>
    </row>
    <row r="6" spans="1:9" x14ac:dyDescent="0.35">
      <c r="A6" t="s">
        <v>63</v>
      </c>
      <c r="G6">
        <f t="shared" si="0"/>
        <v>0</v>
      </c>
    </row>
    <row r="7" spans="1:9" x14ac:dyDescent="0.35">
      <c r="A7" t="s">
        <v>64</v>
      </c>
      <c r="G7">
        <f t="shared" si="0"/>
        <v>0</v>
      </c>
    </row>
    <row r="8" spans="1:9" x14ac:dyDescent="0.35">
      <c r="A8" t="s">
        <v>65</v>
      </c>
      <c r="G8">
        <f t="shared" si="0"/>
        <v>0</v>
      </c>
    </row>
    <row r="9" spans="1:9" x14ac:dyDescent="0.35">
      <c r="A9" t="s">
        <v>66</v>
      </c>
      <c r="G9">
        <f t="shared" si="0"/>
        <v>0</v>
      </c>
    </row>
    <row r="10" spans="1:9" x14ac:dyDescent="0.35">
      <c r="A10" t="s">
        <v>67</v>
      </c>
      <c r="G10">
        <f t="shared" si="0"/>
        <v>0</v>
      </c>
    </row>
    <row r="11" spans="1:9" x14ac:dyDescent="0.35">
      <c r="A11" t="s">
        <v>57</v>
      </c>
      <c r="G11">
        <f t="shared" si="0"/>
        <v>0</v>
      </c>
    </row>
    <row r="15" spans="1:9" x14ac:dyDescent="0.35">
      <c r="F15" t="s">
        <v>58</v>
      </c>
      <c r="G15">
        <f>AVERAGE(G2:G11)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"/>
  <sheetViews>
    <sheetView workbookViewId="0">
      <selection sqref="A1:XFD1048576"/>
    </sheetView>
  </sheetViews>
  <sheetFormatPr defaultRowHeight="14.5" x14ac:dyDescent="0.35"/>
  <cols>
    <col min="1" max="1" width="17.08984375" bestFit="1" customWidth="1"/>
    <col min="2" max="2" width="8.81640625" bestFit="1" customWidth="1"/>
    <col min="3" max="3" width="8.36328125" bestFit="1" customWidth="1"/>
    <col min="4" max="4" width="18.36328125" bestFit="1" customWidth="1"/>
    <col min="5" max="5" width="14.6328125" bestFit="1" customWidth="1"/>
    <col min="6" max="6" width="14.1796875" bestFit="1" customWidth="1"/>
    <col min="7" max="7" width="12" bestFit="1" customWidth="1"/>
    <col min="8" max="8" width="23.1796875" bestFit="1" customWidth="1"/>
    <col min="9" max="9" width="5.7265625" bestFit="1" customWidth="1"/>
  </cols>
  <sheetData>
    <row r="1" spans="1:9" x14ac:dyDescent="0.35">
      <c r="A1" s="1" t="s">
        <v>41</v>
      </c>
      <c r="B1" s="1" t="s">
        <v>26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28</v>
      </c>
    </row>
    <row r="2" spans="1:9" x14ac:dyDescent="0.35">
      <c r="A2" t="s">
        <v>68</v>
      </c>
      <c r="G2">
        <f t="shared" ref="G2:G11" si="0">(C2*0.3)+(D2*0.4)+(E2*0.3)-F2*0.1</f>
        <v>0</v>
      </c>
    </row>
    <row r="3" spans="1:9" x14ac:dyDescent="0.35">
      <c r="A3" t="s">
        <v>69</v>
      </c>
      <c r="G3">
        <f t="shared" si="0"/>
        <v>0</v>
      </c>
    </row>
    <row r="4" spans="1:9" x14ac:dyDescent="0.35">
      <c r="A4" t="s">
        <v>70</v>
      </c>
      <c r="G4">
        <f t="shared" si="0"/>
        <v>0</v>
      </c>
    </row>
    <row r="5" spans="1:9" x14ac:dyDescent="0.35">
      <c r="A5" t="s">
        <v>71</v>
      </c>
      <c r="G5">
        <f t="shared" si="0"/>
        <v>0</v>
      </c>
    </row>
    <row r="6" spans="1:9" x14ac:dyDescent="0.35">
      <c r="A6" t="s">
        <v>72</v>
      </c>
      <c r="G6">
        <f t="shared" si="0"/>
        <v>0</v>
      </c>
    </row>
    <row r="7" spans="1:9" x14ac:dyDescent="0.35">
      <c r="A7" t="s">
        <v>73</v>
      </c>
      <c r="G7">
        <f t="shared" si="0"/>
        <v>0</v>
      </c>
    </row>
    <row r="8" spans="1:9" x14ac:dyDescent="0.35">
      <c r="A8" t="s">
        <v>74</v>
      </c>
      <c r="G8">
        <f t="shared" si="0"/>
        <v>0</v>
      </c>
    </row>
    <row r="9" spans="1:9" x14ac:dyDescent="0.35">
      <c r="A9" t="s">
        <v>75</v>
      </c>
      <c r="G9">
        <f t="shared" si="0"/>
        <v>0</v>
      </c>
    </row>
    <row r="10" spans="1:9" x14ac:dyDescent="0.35">
      <c r="A10" t="s">
        <v>67</v>
      </c>
      <c r="G10">
        <f t="shared" si="0"/>
        <v>0</v>
      </c>
    </row>
    <row r="11" spans="1:9" x14ac:dyDescent="0.35">
      <c r="A11" t="s">
        <v>57</v>
      </c>
      <c r="G11">
        <f t="shared" si="0"/>
        <v>0</v>
      </c>
    </row>
    <row r="15" spans="1:9" x14ac:dyDescent="0.35">
      <c r="F15" t="s">
        <v>58</v>
      </c>
      <c r="G15">
        <f>AVERAGE(G2:G11)</f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"/>
  <sheetViews>
    <sheetView workbookViewId="0">
      <selection sqref="A1:XFD1048576"/>
    </sheetView>
  </sheetViews>
  <sheetFormatPr defaultRowHeight="14.5" x14ac:dyDescent="0.35"/>
  <cols>
    <col min="1" max="1" width="15.90625" bestFit="1" customWidth="1"/>
    <col min="2" max="2" width="8.81640625" bestFit="1" customWidth="1"/>
    <col min="3" max="3" width="8.36328125" bestFit="1" customWidth="1"/>
    <col min="4" max="4" width="18.36328125" bestFit="1" customWidth="1"/>
    <col min="5" max="5" width="14.6328125" bestFit="1" customWidth="1"/>
    <col min="6" max="6" width="14.1796875" bestFit="1" customWidth="1"/>
    <col min="7" max="7" width="12" bestFit="1" customWidth="1"/>
    <col min="8" max="8" width="23.1796875" bestFit="1" customWidth="1"/>
    <col min="9" max="9" width="5.7265625" bestFit="1" customWidth="1"/>
  </cols>
  <sheetData>
    <row r="1" spans="1:9" x14ac:dyDescent="0.35">
      <c r="A1" s="1" t="s">
        <v>41</v>
      </c>
      <c r="B1" s="1" t="s">
        <v>26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28</v>
      </c>
    </row>
    <row r="2" spans="1:9" x14ac:dyDescent="0.35">
      <c r="A2" t="s">
        <v>76</v>
      </c>
      <c r="G2">
        <f t="shared" ref="G2:G11" si="0">(C2*0.3)+(D2*0.4)+(E2*0.3)-F2*0.1</f>
        <v>0</v>
      </c>
    </row>
    <row r="3" spans="1:9" x14ac:dyDescent="0.35">
      <c r="A3" t="s">
        <v>77</v>
      </c>
      <c r="G3">
        <f t="shared" si="0"/>
        <v>0</v>
      </c>
    </row>
    <row r="4" spans="1:9" x14ac:dyDescent="0.35">
      <c r="A4" t="s">
        <v>78</v>
      </c>
      <c r="G4">
        <f t="shared" si="0"/>
        <v>0</v>
      </c>
    </row>
    <row r="5" spans="1:9" x14ac:dyDescent="0.35">
      <c r="A5" t="s">
        <v>79</v>
      </c>
      <c r="G5">
        <f t="shared" si="0"/>
        <v>0</v>
      </c>
    </row>
    <row r="6" spans="1:9" x14ac:dyDescent="0.35">
      <c r="A6" t="s">
        <v>80</v>
      </c>
      <c r="G6">
        <f t="shared" si="0"/>
        <v>0</v>
      </c>
    </row>
    <row r="7" spans="1:9" x14ac:dyDescent="0.35">
      <c r="A7" t="s">
        <v>81</v>
      </c>
      <c r="G7">
        <f t="shared" si="0"/>
        <v>0</v>
      </c>
    </row>
    <row r="8" spans="1:9" x14ac:dyDescent="0.35">
      <c r="A8" t="s">
        <v>82</v>
      </c>
      <c r="G8">
        <f t="shared" si="0"/>
        <v>0</v>
      </c>
    </row>
    <row r="9" spans="1:9" x14ac:dyDescent="0.35">
      <c r="A9" t="s">
        <v>83</v>
      </c>
      <c r="G9">
        <f t="shared" si="0"/>
        <v>0</v>
      </c>
    </row>
    <row r="10" spans="1:9" x14ac:dyDescent="0.35">
      <c r="A10" t="s">
        <v>67</v>
      </c>
      <c r="G10">
        <f t="shared" si="0"/>
        <v>0</v>
      </c>
    </row>
    <row r="11" spans="1:9" x14ac:dyDescent="0.35">
      <c r="A11" t="s">
        <v>57</v>
      </c>
      <c r="G11">
        <f t="shared" si="0"/>
        <v>0</v>
      </c>
    </row>
    <row r="15" spans="1:9" x14ac:dyDescent="0.35">
      <c r="F15" t="s">
        <v>58</v>
      </c>
      <c r="G15">
        <f>AVERAGE(G2:G11)</f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5"/>
  <sheetViews>
    <sheetView workbookViewId="0">
      <selection sqref="A1:XFD1048576"/>
    </sheetView>
  </sheetViews>
  <sheetFormatPr defaultRowHeight="14.5" x14ac:dyDescent="0.35"/>
  <cols>
    <col min="1" max="1" width="16.08984375" bestFit="1" customWidth="1"/>
    <col min="2" max="2" width="8.81640625" bestFit="1" customWidth="1"/>
    <col min="3" max="3" width="8.36328125" bestFit="1" customWidth="1"/>
    <col min="4" max="4" width="18.36328125" bestFit="1" customWidth="1"/>
    <col min="5" max="5" width="14.6328125" bestFit="1" customWidth="1"/>
    <col min="6" max="6" width="14.1796875" bestFit="1" customWidth="1"/>
    <col min="7" max="7" width="12" bestFit="1" customWidth="1"/>
    <col min="8" max="8" width="23.1796875" bestFit="1" customWidth="1"/>
    <col min="9" max="9" width="5.7265625" bestFit="1" customWidth="1"/>
  </cols>
  <sheetData>
    <row r="1" spans="1:9" x14ac:dyDescent="0.35">
      <c r="A1" s="1" t="s">
        <v>41</v>
      </c>
      <c r="B1" s="1" t="s">
        <v>26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28</v>
      </c>
    </row>
    <row r="2" spans="1:9" x14ac:dyDescent="0.35">
      <c r="A2" t="s">
        <v>84</v>
      </c>
      <c r="G2">
        <f t="shared" ref="G2:G11" si="0">(C2*0.3)+(D2*0.4)+(E2*0.3)-F2*0.1</f>
        <v>0</v>
      </c>
    </row>
    <row r="3" spans="1:9" x14ac:dyDescent="0.35">
      <c r="A3" t="s">
        <v>85</v>
      </c>
      <c r="G3">
        <f t="shared" si="0"/>
        <v>0</v>
      </c>
    </row>
    <row r="4" spans="1:9" x14ac:dyDescent="0.35">
      <c r="A4" t="s">
        <v>86</v>
      </c>
      <c r="G4">
        <f t="shared" si="0"/>
        <v>0</v>
      </c>
    </row>
    <row r="5" spans="1:9" x14ac:dyDescent="0.35">
      <c r="A5" t="s">
        <v>87</v>
      </c>
      <c r="G5">
        <f t="shared" si="0"/>
        <v>0</v>
      </c>
    </row>
    <row r="6" spans="1:9" x14ac:dyDescent="0.35">
      <c r="A6" t="s">
        <v>88</v>
      </c>
      <c r="G6">
        <f t="shared" si="0"/>
        <v>0</v>
      </c>
    </row>
    <row r="7" spans="1:9" x14ac:dyDescent="0.35">
      <c r="A7" t="s">
        <v>89</v>
      </c>
      <c r="G7">
        <f t="shared" si="0"/>
        <v>0</v>
      </c>
    </row>
    <row r="8" spans="1:9" x14ac:dyDescent="0.35">
      <c r="A8" t="s">
        <v>90</v>
      </c>
      <c r="G8">
        <f t="shared" si="0"/>
        <v>0</v>
      </c>
    </row>
    <row r="9" spans="1:9" x14ac:dyDescent="0.35">
      <c r="A9" t="s">
        <v>55</v>
      </c>
      <c r="G9">
        <f t="shared" si="0"/>
        <v>0</v>
      </c>
    </row>
    <row r="10" spans="1:9" x14ac:dyDescent="0.35">
      <c r="A10" t="s">
        <v>67</v>
      </c>
      <c r="G10">
        <f t="shared" si="0"/>
        <v>0</v>
      </c>
    </row>
    <row r="11" spans="1:9" x14ac:dyDescent="0.35">
      <c r="A11" t="s">
        <v>57</v>
      </c>
      <c r="G11">
        <f t="shared" si="0"/>
        <v>0</v>
      </c>
    </row>
    <row r="15" spans="1:9" x14ac:dyDescent="0.35">
      <c r="F15" t="s">
        <v>58</v>
      </c>
      <c r="G15">
        <f>AVERAGE(G2:G11)</f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5"/>
  <sheetViews>
    <sheetView workbookViewId="0">
      <selection sqref="A1:XFD1048576"/>
    </sheetView>
  </sheetViews>
  <sheetFormatPr defaultRowHeight="14.5" x14ac:dyDescent="0.35"/>
  <cols>
    <col min="1" max="1" width="15.7265625" bestFit="1" customWidth="1"/>
    <col min="2" max="2" width="8.81640625" bestFit="1" customWidth="1"/>
    <col min="3" max="3" width="8.36328125" bestFit="1" customWidth="1"/>
    <col min="4" max="4" width="18.36328125" bestFit="1" customWidth="1"/>
    <col min="5" max="5" width="14.6328125" bestFit="1" customWidth="1"/>
    <col min="6" max="6" width="14.1796875" bestFit="1" customWidth="1"/>
    <col min="7" max="7" width="12" bestFit="1" customWidth="1"/>
    <col min="8" max="8" width="23.1796875" bestFit="1" customWidth="1"/>
    <col min="9" max="9" width="5.7265625" bestFit="1" customWidth="1"/>
  </cols>
  <sheetData>
    <row r="1" spans="1:9" x14ac:dyDescent="0.35">
      <c r="A1" s="1" t="s">
        <v>41</v>
      </c>
      <c r="B1" s="1" t="s">
        <v>26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28</v>
      </c>
    </row>
    <row r="2" spans="1:9" x14ac:dyDescent="0.35">
      <c r="A2" t="s">
        <v>91</v>
      </c>
      <c r="G2">
        <f t="shared" ref="G2:G11" si="0">(C2*0.3)+(D2*0.4)+(E2*0.3)-F2*0.1</f>
        <v>0</v>
      </c>
    </row>
    <row r="3" spans="1:9" x14ac:dyDescent="0.35">
      <c r="A3" t="s">
        <v>92</v>
      </c>
      <c r="G3">
        <f t="shared" si="0"/>
        <v>0</v>
      </c>
    </row>
    <row r="4" spans="1:9" x14ac:dyDescent="0.35">
      <c r="A4" t="s">
        <v>93</v>
      </c>
      <c r="G4">
        <f t="shared" si="0"/>
        <v>0</v>
      </c>
    </row>
    <row r="5" spans="1:9" x14ac:dyDescent="0.35">
      <c r="A5" t="s">
        <v>94</v>
      </c>
      <c r="G5">
        <f t="shared" si="0"/>
        <v>0</v>
      </c>
    </row>
    <row r="6" spans="1:9" x14ac:dyDescent="0.35">
      <c r="A6" t="s">
        <v>95</v>
      </c>
      <c r="G6">
        <f t="shared" si="0"/>
        <v>0</v>
      </c>
    </row>
    <row r="7" spans="1:9" x14ac:dyDescent="0.35">
      <c r="A7" t="s">
        <v>96</v>
      </c>
      <c r="G7">
        <f t="shared" si="0"/>
        <v>0</v>
      </c>
    </row>
    <row r="8" spans="1:9" x14ac:dyDescent="0.35">
      <c r="A8" t="s">
        <v>97</v>
      </c>
      <c r="G8">
        <f t="shared" si="0"/>
        <v>0</v>
      </c>
    </row>
    <row r="9" spans="1:9" x14ac:dyDescent="0.35">
      <c r="A9" t="s">
        <v>98</v>
      </c>
      <c r="G9">
        <f t="shared" si="0"/>
        <v>0</v>
      </c>
    </row>
    <row r="10" spans="1:9" x14ac:dyDescent="0.35">
      <c r="A10" t="s">
        <v>67</v>
      </c>
      <c r="G10">
        <f t="shared" si="0"/>
        <v>0</v>
      </c>
    </row>
    <row r="11" spans="1:9" x14ac:dyDescent="0.35">
      <c r="A11" t="s">
        <v>57</v>
      </c>
      <c r="G11">
        <f t="shared" si="0"/>
        <v>0</v>
      </c>
    </row>
    <row r="15" spans="1:9" x14ac:dyDescent="0.35">
      <c r="F15" t="s">
        <v>58</v>
      </c>
      <c r="G15">
        <f>AVERAGE(G2:G11)</f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5"/>
  <sheetViews>
    <sheetView workbookViewId="0">
      <selection sqref="A1:XFD1048576"/>
    </sheetView>
  </sheetViews>
  <sheetFormatPr defaultRowHeight="14.5" x14ac:dyDescent="0.35"/>
  <cols>
    <col min="1" max="1" width="19.1796875" bestFit="1" customWidth="1"/>
    <col min="2" max="2" width="8.81640625" bestFit="1" customWidth="1"/>
    <col min="3" max="3" width="8.36328125" bestFit="1" customWidth="1"/>
    <col min="4" max="4" width="18.36328125" bestFit="1" customWidth="1"/>
    <col min="5" max="5" width="14.6328125" bestFit="1" customWidth="1"/>
    <col min="6" max="6" width="14.1796875" bestFit="1" customWidth="1"/>
    <col min="7" max="7" width="12" bestFit="1" customWidth="1"/>
    <col min="8" max="8" width="23.1796875" bestFit="1" customWidth="1"/>
    <col min="9" max="9" width="5.7265625" bestFit="1" customWidth="1"/>
  </cols>
  <sheetData>
    <row r="1" spans="1:9" x14ac:dyDescent="0.35">
      <c r="A1" s="1" t="s">
        <v>41</v>
      </c>
      <c r="B1" s="1" t="s">
        <v>26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28</v>
      </c>
    </row>
    <row r="2" spans="1:9" x14ac:dyDescent="0.35">
      <c r="A2" t="s">
        <v>99</v>
      </c>
      <c r="G2">
        <f t="shared" ref="G2:G11" si="0">(C2*0.3)+(D2*0.4)+(E2*0.3)-F2*0.1</f>
        <v>0</v>
      </c>
    </row>
    <row r="3" spans="1:9" x14ac:dyDescent="0.35">
      <c r="A3" t="s">
        <v>22</v>
      </c>
      <c r="G3">
        <f t="shared" si="0"/>
        <v>0</v>
      </c>
    </row>
    <row r="4" spans="1:9" x14ac:dyDescent="0.35">
      <c r="A4" t="s">
        <v>100</v>
      </c>
      <c r="G4">
        <f t="shared" si="0"/>
        <v>0</v>
      </c>
    </row>
    <row r="5" spans="1:9" x14ac:dyDescent="0.35">
      <c r="A5" t="s">
        <v>101</v>
      </c>
      <c r="G5">
        <f t="shared" si="0"/>
        <v>0</v>
      </c>
    </row>
    <row r="6" spans="1:9" x14ac:dyDescent="0.35">
      <c r="A6" t="s">
        <v>102</v>
      </c>
      <c r="G6">
        <f t="shared" si="0"/>
        <v>0</v>
      </c>
    </row>
    <row r="7" spans="1:9" x14ac:dyDescent="0.35">
      <c r="A7" t="s">
        <v>103</v>
      </c>
      <c r="G7">
        <f t="shared" si="0"/>
        <v>0</v>
      </c>
    </row>
    <row r="8" spans="1:9" x14ac:dyDescent="0.35">
      <c r="A8" t="s">
        <v>104</v>
      </c>
      <c r="G8">
        <f t="shared" si="0"/>
        <v>0</v>
      </c>
    </row>
    <row r="9" spans="1:9" x14ac:dyDescent="0.35">
      <c r="A9" t="s">
        <v>105</v>
      </c>
      <c r="G9">
        <f t="shared" si="0"/>
        <v>0</v>
      </c>
    </row>
    <row r="10" spans="1:9" x14ac:dyDescent="0.35">
      <c r="A10" t="s">
        <v>67</v>
      </c>
      <c r="G10">
        <f t="shared" si="0"/>
        <v>0</v>
      </c>
    </row>
    <row r="11" spans="1:9" x14ac:dyDescent="0.35">
      <c r="A11" t="s">
        <v>57</v>
      </c>
      <c r="G11">
        <f t="shared" si="0"/>
        <v>0</v>
      </c>
    </row>
    <row r="15" spans="1:9" x14ac:dyDescent="0.35">
      <c r="F15" t="s">
        <v>58</v>
      </c>
      <c r="G15">
        <f>AVERAGE(G2:G11)</f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41</v>
      </c>
      <c r="B1" s="1" t="s">
        <v>26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28</v>
      </c>
    </row>
    <row r="2" spans="1:9" x14ac:dyDescent="0.35">
      <c r="A2" t="s">
        <v>106</v>
      </c>
      <c r="G2">
        <f t="shared" ref="G2:G11" si="0">(C2*0.3)+(D2*0.4)+(E2*0.3)-F2*0.1</f>
        <v>0</v>
      </c>
    </row>
    <row r="3" spans="1:9" x14ac:dyDescent="0.35">
      <c r="A3" t="s">
        <v>96</v>
      </c>
      <c r="G3">
        <f t="shared" si="0"/>
        <v>0</v>
      </c>
    </row>
    <row r="4" spans="1:9" x14ac:dyDescent="0.35">
      <c r="A4" t="s">
        <v>107</v>
      </c>
      <c r="G4">
        <f t="shared" si="0"/>
        <v>0</v>
      </c>
    </row>
    <row r="5" spans="1:9" x14ac:dyDescent="0.35">
      <c r="A5" t="s">
        <v>108</v>
      </c>
      <c r="G5">
        <f t="shared" si="0"/>
        <v>0</v>
      </c>
    </row>
    <row r="6" spans="1:9" x14ac:dyDescent="0.35">
      <c r="A6" t="s">
        <v>109</v>
      </c>
      <c r="G6">
        <f t="shared" si="0"/>
        <v>0</v>
      </c>
    </row>
    <row r="7" spans="1:9" x14ac:dyDescent="0.35">
      <c r="A7" t="s">
        <v>110</v>
      </c>
      <c r="G7">
        <f t="shared" si="0"/>
        <v>0</v>
      </c>
    </row>
    <row r="8" spans="1:9" x14ac:dyDescent="0.35">
      <c r="A8" t="s">
        <v>111</v>
      </c>
      <c r="G8">
        <f t="shared" si="0"/>
        <v>0</v>
      </c>
    </row>
    <row r="9" spans="1:9" x14ac:dyDescent="0.35">
      <c r="A9" t="s">
        <v>65</v>
      </c>
      <c r="G9">
        <f t="shared" si="0"/>
        <v>0</v>
      </c>
    </row>
    <row r="10" spans="1:9" x14ac:dyDescent="0.35">
      <c r="A10" t="s">
        <v>67</v>
      </c>
      <c r="G10">
        <f t="shared" si="0"/>
        <v>0</v>
      </c>
    </row>
    <row r="11" spans="1:9" x14ac:dyDescent="0.35">
      <c r="A11" t="s">
        <v>57</v>
      </c>
      <c r="G11">
        <f t="shared" si="0"/>
        <v>0</v>
      </c>
    </row>
    <row r="15" spans="1:9" x14ac:dyDescent="0.35">
      <c r="F15" t="s">
        <v>58</v>
      </c>
      <c r="G15">
        <f>AVERAGE(G2:G11)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1"/>
  <sheetViews>
    <sheetView workbookViewId="0">
      <selection activeCell="B4" sqref="B4"/>
    </sheetView>
  </sheetViews>
  <sheetFormatPr defaultRowHeight="14.5" x14ac:dyDescent="0.35"/>
  <cols>
    <col min="1" max="1" width="12.36328125" bestFit="1" customWidth="1"/>
    <col min="2" max="2" width="9.26953125" bestFit="1" customWidth="1"/>
    <col min="3" max="3" width="6.81640625" bestFit="1" customWidth="1"/>
    <col min="4" max="4" width="14" bestFit="1" customWidth="1"/>
    <col min="6" max="6" width="8.6328125" bestFit="1" customWidth="1"/>
    <col min="7" max="7" width="8.1796875" bestFit="1" customWidth="1"/>
  </cols>
  <sheetData>
    <row r="1" spans="1:7" x14ac:dyDescent="0.35">
      <c r="A1" s="1" t="s">
        <v>112</v>
      </c>
      <c r="B1" s="1" t="s">
        <v>113</v>
      </c>
      <c r="C1" s="1" t="s">
        <v>114</v>
      </c>
      <c r="D1" s="1" t="s">
        <v>115</v>
      </c>
    </row>
    <row r="2" spans="1:7" x14ac:dyDescent="0.35">
      <c r="A2" t="s">
        <v>116</v>
      </c>
      <c r="C2">
        <v>15</v>
      </c>
      <c r="D2">
        <f t="shared" ref="D2:D11" si="0">B2*C2</f>
        <v>0</v>
      </c>
      <c r="F2" t="s">
        <v>117</v>
      </c>
      <c r="G2">
        <f>SUM(D2:D11)/SUM(C2:C11)</f>
        <v>0</v>
      </c>
    </row>
    <row r="3" spans="1:7" x14ac:dyDescent="0.35">
      <c r="A3" t="s">
        <v>118</v>
      </c>
      <c r="C3">
        <v>15</v>
      </c>
      <c r="D3">
        <f t="shared" si="0"/>
        <v>0</v>
      </c>
      <c r="F3" t="s">
        <v>119</v>
      </c>
      <c r="G3" t="str">
        <f>IF(G2&lt;2,"Beginner",IF(G2&lt;3.5,"Developing","Advanced"))</f>
        <v>Beginner</v>
      </c>
    </row>
    <row r="4" spans="1:7" x14ac:dyDescent="0.35">
      <c r="A4" t="s">
        <v>120</v>
      </c>
      <c r="C4">
        <v>15</v>
      </c>
      <c r="D4">
        <f t="shared" si="0"/>
        <v>0</v>
      </c>
    </row>
    <row r="5" spans="1:7" x14ac:dyDescent="0.35">
      <c r="A5" t="s">
        <v>121</v>
      </c>
      <c r="C5">
        <v>10</v>
      </c>
      <c r="D5">
        <f t="shared" si="0"/>
        <v>0</v>
      </c>
    </row>
    <row r="6" spans="1:7" x14ac:dyDescent="0.35">
      <c r="A6" t="s">
        <v>101</v>
      </c>
      <c r="C6">
        <v>10</v>
      </c>
      <c r="D6">
        <f t="shared" si="0"/>
        <v>0</v>
      </c>
    </row>
    <row r="7" spans="1:7" x14ac:dyDescent="0.35">
      <c r="A7" t="s">
        <v>111</v>
      </c>
      <c r="C7">
        <v>10</v>
      </c>
      <c r="D7">
        <f t="shared" si="0"/>
        <v>0</v>
      </c>
    </row>
    <row r="8" spans="1:7" x14ac:dyDescent="0.35">
      <c r="A8" t="s">
        <v>122</v>
      </c>
      <c r="C8">
        <v>10</v>
      </c>
      <c r="D8">
        <f t="shared" si="0"/>
        <v>0</v>
      </c>
    </row>
    <row r="9" spans="1:7" x14ac:dyDescent="0.35">
      <c r="A9" t="s">
        <v>123</v>
      </c>
      <c r="C9">
        <v>5</v>
      </c>
      <c r="D9">
        <f t="shared" si="0"/>
        <v>0</v>
      </c>
    </row>
    <row r="10" spans="1:7" x14ac:dyDescent="0.35">
      <c r="A10" t="s">
        <v>124</v>
      </c>
      <c r="C10">
        <v>5</v>
      </c>
      <c r="D10">
        <f t="shared" si="0"/>
        <v>0</v>
      </c>
    </row>
    <row r="11" spans="1:7" x14ac:dyDescent="0.35">
      <c r="A11" t="s">
        <v>125</v>
      </c>
      <c r="C11">
        <v>5</v>
      </c>
      <c r="D11">
        <f t="shared" si="0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"/>
  <sheetViews>
    <sheetView workbookViewId="0">
      <selection sqref="A1:XFD1048576"/>
    </sheetView>
  </sheetViews>
  <sheetFormatPr defaultRowHeight="14.5" x14ac:dyDescent="0.35"/>
  <cols>
    <col min="1" max="1" width="11.08984375" bestFit="1" customWidth="1"/>
    <col min="2" max="2" width="8.26953125" bestFit="1" customWidth="1"/>
    <col min="3" max="3" width="13.26953125" bestFit="1" customWidth="1"/>
    <col min="4" max="4" width="10.1796875" bestFit="1" customWidth="1"/>
    <col min="5" max="5" width="7" bestFit="1" customWidth="1"/>
    <col min="6" max="6" width="3.81640625" bestFit="1" customWidth="1"/>
    <col min="7" max="7" width="15.7265625" bestFit="1" customWidth="1"/>
  </cols>
  <sheetData>
    <row r="1" spans="1:7" x14ac:dyDescent="0.35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7"/>
  <sheetViews>
    <sheetView workbookViewId="0">
      <selection activeCell="B6" sqref="B6"/>
    </sheetView>
  </sheetViews>
  <sheetFormatPr defaultRowHeight="14.5" x14ac:dyDescent="0.35"/>
  <cols>
    <col min="1" max="1" width="18.453125" bestFit="1" customWidth="1"/>
    <col min="2" max="2" width="7.1796875" bestFit="1" customWidth="1"/>
  </cols>
  <sheetData>
    <row r="1" spans="1:2" x14ac:dyDescent="0.35">
      <c r="A1" s="1" t="s">
        <v>133</v>
      </c>
      <c r="B1" s="1" t="s">
        <v>12</v>
      </c>
    </row>
    <row r="2" spans="1:2" x14ac:dyDescent="0.35">
      <c r="A2" t="s">
        <v>134</v>
      </c>
    </row>
    <row r="3" spans="1:2" x14ac:dyDescent="0.35">
      <c r="A3" t="s">
        <v>135</v>
      </c>
    </row>
    <row r="4" spans="1:2" x14ac:dyDescent="0.35">
      <c r="A4" t="s">
        <v>136</v>
      </c>
    </row>
    <row r="5" spans="1:2" x14ac:dyDescent="0.35">
      <c r="A5" t="s">
        <v>137</v>
      </c>
      <c r="B5">
        <f>B2*B3*52*B4</f>
        <v>0</v>
      </c>
    </row>
    <row r="6" spans="1:2" x14ac:dyDescent="0.35">
      <c r="A6" t="s">
        <v>138</v>
      </c>
    </row>
    <row r="7" spans="1:2" x14ac:dyDescent="0.35">
      <c r="A7" t="s">
        <v>139</v>
      </c>
      <c r="B7" t="e">
        <f>(B6/B5)*12</f>
        <v>#DIV/0!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"/>
  <sheetViews>
    <sheetView workbookViewId="0">
      <selection sqref="A1:XFD1048576"/>
    </sheetView>
  </sheetViews>
  <sheetFormatPr defaultRowHeight="14.5" x14ac:dyDescent="0.35"/>
  <cols>
    <col min="1" max="1" width="7.453125" bestFit="1" customWidth="1"/>
    <col min="2" max="2" width="8.1796875" bestFit="1" customWidth="1"/>
    <col min="3" max="3" width="6.453125" bestFit="1" customWidth="1"/>
    <col min="4" max="4" width="7" bestFit="1" customWidth="1"/>
    <col min="5" max="5" width="6.08984375" bestFit="1" customWidth="1"/>
    <col min="6" max="6" width="16.26953125" bestFit="1" customWidth="1"/>
  </cols>
  <sheetData>
    <row r="1" spans="1:6" x14ac:dyDescent="0.35">
      <c r="A1" s="1" t="s">
        <v>140</v>
      </c>
      <c r="B1" s="1" t="s">
        <v>141</v>
      </c>
      <c r="C1" s="1" t="s">
        <v>142</v>
      </c>
      <c r="D1" s="1" t="s">
        <v>130</v>
      </c>
      <c r="E1" s="1" t="s">
        <v>143</v>
      </c>
      <c r="F1" s="1" t="s">
        <v>144</v>
      </c>
    </row>
    <row r="2" spans="1:6" x14ac:dyDescent="0.35">
      <c r="A2" t="s">
        <v>145</v>
      </c>
    </row>
    <row r="3" spans="1:6" x14ac:dyDescent="0.35">
      <c r="A3" t="s">
        <v>146</v>
      </c>
    </row>
    <row r="4" spans="1:6" x14ac:dyDescent="0.35">
      <c r="A4" t="s">
        <v>147</v>
      </c>
    </row>
    <row r="5" spans="1:6" x14ac:dyDescent="0.35">
      <c r="A5" t="s">
        <v>148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"/>
  <sheetViews>
    <sheetView workbookViewId="0">
      <selection sqref="A1:XFD1048576"/>
    </sheetView>
  </sheetViews>
  <sheetFormatPr defaultRowHeight="14.5" x14ac:dyDescent="0.35"/>
  <cols>
    <col min="1" max="1" width="4.1796875" bestFit="1" customWidth="1"/>
    <col min="2" max="2" width="6.6328125" bestFit="1" customWidth="1"/>
    <col min="3" max="3" width="9.36328125" bestFit="1" customWidth="1"/>
    <col min="4" max="4" width="9.453125" bestFit="1" customWidth="1"/>
    <col min="5" max="5" width="6.453125" bestFit="1" customWidth="1"/>
  </cols>
  <sheetData>
    <row r="1" spans="1:5" x14ac:dyDescent="0.35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C8" sqref="C8"/>
    </sheetView>
  </sheetViews>
  <sheetFormatPr defaultRowHeight="14.5" x14ac:dyDescent="0.35"/>
  <cols>
    <col min="1" max="1" width="30.81640625" bestFit="1" customWidth="1"/>
    <col min="2" max="2" width="8.1796875" bestFit="1" customWidth="1"/>
  </cols>
  <sheetData>
    <row r="1" spans="1:2" x14ac:dyDescent="0.35">
      <c r="A1" t="s">
        <v>153</v>
      </c>
    </row>
    <row r="3" spans="1:2" x14ac:dyDescent="0.35">
      <c r="A3" t="s">
        <v>154</v>
      </c>
      <c r="B3">
        <f>'AI Readiness'!G2</f>
        <v>0</v>
      </c>
    </row>
    <row r="4" spans="1:2" x14ac:dyDescent="0.35">
      <c r="A4" t="s">
        <v>155</v>
      </c>
      <c r="B4" t="str">
        <f>'AI Readiness'!G3</f>
        <v>Beginner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README</vt:lpstr>
      <vt:lpstr>Company Profile</vt:lpstr>
      <vt:lpstr>Executive Discovery</vt:lpstr>
      <vt:lpstr>Sales</vt:lpstr>
      <vt:lpstr>Marketing</vt:lpstr>
      <vt:lpstr>Customer Support</vt:lpstr>
      <vt:lpstr>HR</vt:lpstr>
      <vt:lpstr>Finance</vt:lpstr>
      <vt:lpstr>Operations</vt:lpstr>
      <vt:lpstr>IT</vt:lpstr>
      <vt:lpstr>Data</vt:lpstr>
      <vt:lpstr>AI Readiness</vt:lpstr>
      <vt:lpstr>Opportunity Matrix</vt:lpstr>
      <vt:lpstr>ROI Estimator</vt:lpstr>
      <vt:lpstr>Roadmap</vt:lpstr>
      <vt:lpstr>Risk Register</vt:lpstr>
      <vt:lpstr>Executive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Ssooraj Rauth</cp:lastModifiedBy>
  <dcterms:created xsi:type="dcterms:W3CDTF">2026-07-22T04:58:10Z</dcterms:created>
  <dcterms:modified xsi:type="dcterms:W3CDTF">2026-07-22T05:03:23Z</dcterms:modified>
</cp:coreProperties>
</file>