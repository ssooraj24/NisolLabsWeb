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isol-Labs\Code\Anti-Gravity-Code\Documents\"/>
    </mc:Choice>
  </mc:AlternateContent>
  <xr:revisionPtr revIDLastSave="0" documentId="13_ncr:1_{B047DE13-DD63-46AF-8BFA-D23C23AAA5F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st Calculator" sheetId="1" r:id="rId1"/>
    <sheet name="Lookup T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B14" i="1" s="1"/>
  <c r="B15" i="1" s="1"/>
  <c r="B18" i="1" l="1"/>
  <c r="B17" i="1"/>
  <c r="B16" i="1"/>
  <c r="B23" i="1" l="1"/>
  <c r="B22" i="1"/>
  <c r="B21" i="1"/>
</calcChain>
</file>

<file path=xl/sharedStrings.xml><?xml version="1.0" encoding="utf-8"?>
<sst xmlns="http://schemas.openxmlformats.org/spreadsheetml/2006/main" count="68" uniqueCount="57">
  <si>
    <t>AI Consulting Phase 1 Audit &amp; Roadmap Cost Calculator</t>
  </si>
  <si>
    <t>Interactive pricing estimator for Independent AI Consultants in India</t>
  </si>
  <si>
    <t>PARAMETER / INPUT</t>
  </si>
  <si>
    <t>VALUE / SELECTION</t>
  </si>
  <si>
    <t>MULTIPLIER / EFFECT</t>
  </si>
  <si>
    <t>NOTES &amp; GUIDANCE</t>
  </si>
  <si>
    <t>Consultant Base Daily Rate (₹)</t>
  </si>
  <si>
    <t>Base Audit Fixed Days</t>
  </si>
  <si>
    <t>5 Days</t>
  </si>
  <si>
    <t>Minimum effort required for scoping, kickoff &amp; deck setup</t>
  </si>
  <si>
    <t>Company Size &amp; Scale Tier</t>
  </si>
  <si>
    <t>Mid-Market (50-300 employees)</t>
  </si>
  <si>
    <t>Determines organizational alignment &amp; interview complexity</t>
  </si>
  <si>
    <t>Number of Workflows to Map</t>
  </si>
  <si>
    <t>1.2 Days / Workflow</t>
  </si>
  <si>
    <t>Adds ~1.2 days per business process mapped</t>
  </si>
  <si>
    <t>Stakeholders to Interview</t>
  </si>
  <si>
    <t>0.5 Days / Person</t>
  </si>
  <si>
    <t>Adds ~0.5 days per key stakeholder/department head</t>
  </si>
  <si>
    <t>Data &amp; Tech Debt Level</t>
  </si>
  <si>
    <t>Hybrid / Messy Data</t>
  </si>
  <si>
    <t>Adjusts effort for data extraction, cleaning &amp; architecture audit</t>
  </si>
  <si>
    <t>Compliance &amp; Regulatory Complexity</t>
  </si>
  <si>
    <t>Standard Internal Use</t>
  </si>
  <si>
    <t>Surcharge for BFSI, Healthcare, PII, SOC2 &amp; security controls</t>
  </si>
  <si>
    <t>CALCULATED ESTIMATES &amp; OUTPUTS</t>
  </si>
  <si>
    <t>Total Estimated Effort Days</t>
  </si>
  <si>
    <t>Days</t>
  </si>
  <si>
    <t>Formula: ROUNDUP((Base + Workflows*1.2 + Interviews*0.5) * Scale, 0)</t>
  </si>
  <si>
    <t>Base Labor Fee Estimate</t>
  </si>
  <si>
    <t>₹</t>
  </si>
  <si>
    <t>Formula: Effort Days * Daily Rate</t>
  </si>
  <si>
    <t>Technical Debt Surcharge</t>
  </si>
  <si>
    <t>Additional effort cost due to data/legacy complexity</t>
  </si>
  <si>
    <t>Compliance &amp; Risk Surcharge</t>
  </si>
  <si>
    <t>Additional cost due to security &amp; regulatory constraints</t>
  </si>
  <si>
    <t>FINAL RECOMMENDED PHASE 1 FIXED FEE</t>
  </si>
  <si>
    <t>Total Phase 1 Audit &amp; Roadmap Fixed Client Fee (Rounded to ₹1,000)</t>
  </si>
  <si>
    <t>RECOMMENDED MILESTONE PAYMENT SCHEDULE (SOW)</t>
  </si>
  <si>
    <t>Milestone 1: Inception &amp; Discovery (30%)</t>
  </si>
  <si>
    <t>Upon SOW signing, kickoff &amp; stakeholder interview scheduling</t>
  </si>
  <si>
    <t>Milestone 2: Draft Audit &amp; Architecture (40%)</t>
  </si>
  <si>
    <t>Upon submission of process maps, tech audit &amp; preliminary ROI matrix</t>
  </si>
  <si>
    <t>Milestone 3: Final 12-24 Mo Roadmap Sign-off (30%)</t>
  </si>
  <si>
    <t>Upon delivery of final roadmap deck, vendor matrix &amp; C-suite presentation</t>
  </si>
  <si>
    <t>Company Size Tier</t>
  </si>
  <si>
    <t>Multiplier</t>
  </si>
  <si>
    <t>Tech Debt Level</t>
  </si>
  <si>
    <t>Compliance Level</t>
  </si>
  <si>
    <t>Small / Startup (&lt;50 employees)</t>
  </si>
  <si>
    <t>Clean SaaS / Cloud APIs</t>
  </si>
  <si>
    <t>Regulated / BFSI / PII</t>
  </si>
  <si>
    <t>Enterprise (300+ employees)</t>
  </si>
  <si>
    <t>Legacy / Siloed ERP</t>
  </si>
  <si>
    <t>Base Daily Rate</t>
  </si>
  <si>
    <t>Standard mid-senior daily rate range: ₹25,000 - ₹75,000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</si>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</sst>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\₹#,##0"/>
    <numFmt numFmtId="165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1F4E78"/>
      <name val="Calibri"/>
    </font>
    <font>
      <b/>
      <sz val="14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164" fontId="6" fillId="3" borderId="1" xfId="0" applyNumberFormat="1" applyFont="1" applyFill="1" applyBorder="1"/>
    <xf numFmtId="0" fontId="6" fillId="0" borderId="1" xfId="0" applyFont="1" applyBorder="1"/>
    <xf numFmtId="0" fontId="2" fillId="0" borderId="1" xfId="0" applyFont="1" applyBorder="1"/>
    <xf numFmtId="3" fontId="6" fillId="3" borderId="1" xfId="0" applyNumberFormat="1" applyFont="1" applyFill="1" applyBorder="1"/>
    <xf numFmtId="0" fontId="6" fillId="3" borderId="1" xfId="0" applyFont="1" applyFill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0" fontId="7" fillId="5" borderId="2" xfId="0" applyFont="1" applyFill="1" applyBorder="1"/>
    <xf numFmtId="164" fontId="8" fillId="5" borderId="2" xfId="0" applyNumberFormat="1" applyFont="1" applyFill="1" applyBorder="1"/>
    <xf numFmtId="0" fontId="6" fillId="5" borderId="2" xfId="0" applyFont="1" applyFill="1" applyBorder="1"/>
    <xf numFmtId="0" fontId="2" fillId="5" borderId="2" xfId="0" applyFont="1" applyFill="1" applyBorder="1"/>
    <xf numFmtId="164" fontId="5" fillId="0" borderId="1" xfId="0" applyNumberFormat="1" applyFont="1" applyBorder="1"/>
    <xf numFmtId="0" fontId="3" fillId="2" borderId="0" xfId="0" applyFont="1" applyFill="1"/>
    <xf numFmtId="6" fontId="6" fillId="0" borderId="1" xfId="0" applyNumberFormat="1" applyFont="1" applyBorder="1"/>
    <xf numFmtId="165" fontId="0" fillId="0" borderId="0" xfId="0" applyNumberFormat="1"/>
    <xf numFmtId="0" fontId="4" fillId="2" borderId="0" xfId="0" applyFont="1" applyFill="1"/>
    <xf numFmtId="0" fontId="0" fillId="0" borderId="0" xfId="0"/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opLeftCell="A3" workbookViewId="0">
      <selection activeCell="B7" sqref="B7"/>
    </sheetView>
  </sheetViews>
  <sheetFormatPr defaultRowHeight="14.5" x14ac:dyDescent="0.35"/>
  <cols>
    <col min="1" max="1" width="52.54296875" customWidth="1"/>
    <col min="2" max="2" width="32" customWidth="1"/>
    <col min="3" max="3" width="22" customWidth="1"/>
    <col min="4" max="4" width="65" customWidth="1"/>
  </cols>
  <sheetData>
    <row r="1" spans="1:4" ht="21" x14ac:dyDescent="0.5">
      <c r="A1" s="22" t="s">
        <v>0</v>
      </c>
      <c r="B1" s="22"/>
      <c r="C1" s="22"/>
    </row>
    <row r="2" spans="1:4" x14ac:dyDescent="0.35">
      <c r="A2" s="1" t="s">
        <v>1</v>
      </c>
    </row>
    <row r="4" spans="1:4" ht="15.5" x14ac:dyDescent="0.3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35">
      <c r="A5" s="3" t="s">
        <v>6</v>
      </c>
      <c r="B5" s="4">
        <v>45000</v>
      </c>
      <c r="C5" s="17">
        <f>B5</f>
        <v>45000</v>
      </c>
      <c r="D5" s="6" t="s">
        <v>55</v>
      </c>
    </row>
    <row r="6" spans="1:4" x14ac:dyDescent="0.35">
      <c r="A6" s="3" t="s">
        <v>7</v>
      </c>
      <c r="B6" s="7">
        <v>5</v>
      </c>
      <c r="C6" s="5" t="s">
        <v>8</v>
      </c>
      <c r="D6" s="6" t="s">
        <v>9</v>
      </c>
    </row>
    <row r="7" spans="1:4" x14ac:dyDescent="0.35">
      <c r="A7" s="3" t="s">
        <v>10</v>
      </c>
      <c r="B7" s="8" t="s">
        <v>49</v>
      </c>
      <c r="C7" s="5">
        <f>VLOOKUP(B7, 'Lookup Tables'!A2:B4, 2, FALSE)</f>
        <v>1</v>
      </c>
      <c r="D7" s="6" t="s">
        <v>12</v>
      </c>
    </row>
    <row r="8" spans="1:4" x14ac:dyDescent="0.35">
      <c r="A8" s="3" t="s">
        <v>13</v>
      </c>
      <c r="B8" s="7">
        <v>3</v>
      </c>
      <c r="C8" s="5" t="s">
        <v>14</v>
      </c>
      <c r="D8" s="6" t="s">
        <v>15</v>
      </c>
    </row>
    <row r="9" spans="1:4" x14ac:dyDescent="0.35">
      <c r="A9" s="3" t="s">
        <v>16</v>
      </c>
      <c r="B9" s="7">
        <v>5</v>
      </c>
      <c r="C9" s="5" t="s">
        <v>17</v>
      </c>
      <c r="D9" s="6" t="s">
        <v>18</v>
      </c>
    </row>
    <row r="10" spans="1:4" x14ac:dyDescent="0.35">
      <c r="A10" s="3" t="s">
        <v>19</v>
      </c>
      <c r="B10" s="8" t="s">
        <v>50</v>
      </c>
      <c r="C10" s="5">
        <v>1.3</v>
      </c>
      <c r="D10" s="6" t="s">
        <v>21</v>
      </c>
    </row>
    <row r="11" spans="1:4" x14ac:dyDescent="0.35">
      <c r="A11" s="3" t="s">
        <v>22</v>
      </c>
      <c r="B11" s="8" t="s">
        <v>23</v>
      </c>
      <c r="C11" s="5">
        <v>1.5</v>
      </c>
      <c r="D11" s="6" t="s">
        <v>24</v>
      </c>
    </row>
    <row r="13" spans="1:4" ht="15.5" x14ac:dyDescent="0.35">
      <c r="A13" s="21" t="s">
        <v>25</v>
      </c>
      <c r="B13" s="20"/>
      <c r="C13" s="20"/>
      <c r="D13" s="20"/>
    </row>
    <row r="14" spans="1:4" x14ac:dyDescent="0.35">
      <c r="A14" s="3" t="s">
        <v>26</v>
      </c>
      <c r="B14" s="9">
        <f>ROUNDUP((B6 + (B8 * 1.2) + (B9 * 0.5)) * C7, 0)</f>
        <v>12</v>
      </c>
      <c r="C14" s="5" t="s">
        <v>27</v>
      </c>
      <c r="D14" s="6" t="s">
        <v>28</v>
      </c>
    </row>
    <row r="15" spans="1:4" x14ac:dyDescent="0.35">
      <c r="A15" s="3" t="s">
        <v>29</v>
      </c>
      <c r="B15" s="10">
        <f>B14 * B5</f>
        <v>540000</v>
      </c>
      <c r="C15" s="5" t="s">
        <v>30</v>
      </c>
      <c r="D15" s="6" t="s">
        <v>31</v>
      </c>
    </row>
    <row r="16" spans="1:4" x14ac:dyDescent="0.35">
      <c r="A16" s="3" t="s">
        <v>32</v>
      </c>
      <c r="B16" s="10">
        <f>B15 * (C10 - 1)</f>
        <v>162000.00000000003</v>
      </c>
      <c r="C16" s="5" t="s">
        <v>30</v>
      </c>
      <c r="D16" s="6" t="s">
        <v>33</v>
      </c>
    </row>
    <row r="17" spans="1:4" x14ac:dyDescent="0.35">
      <c r="A17" s="3" t="s">
        <v>34</v>
      </c>
      <c r="B17" s="10">
        <f>B15 * (C11 - 1)</f>
        <v>270000</v>
      </c>
      <c r="C17" s="5" t="s">
        <v>30</v>
      </c>
      <c r="D17" s="6" t="s">
        <v>35</v>
      </c>
    </row>
    <row r="18" spans="1:4" ht="18.5" x14ac:dyDescent="0.45">
      <c r="A18" s="11" t="s">
        <v>36</v>
      </c>
      <c r="B18" s="12">
        <f>ROUNDUP((B15 * C10 * C11), -3)</f>
        <v>1053000</v>
      </c>
      <c r="C18" s="13" t="s">
        <v>30</v>
      </c>
      <c r="D18" s="14" t="s">
        <v>37</v>
      </c>
    </row>
    <row r="20" spans="1:4" ht="15.5" x14ac:dyDescent="0.35">
      <c r="A20" s="19" t="s">
        <v>38</v>
      </c>
      <c r="B20" s="20"/>
      <c r="C20" s="20"/>
      <c r="D20" s="20"/>
    </row>
    <row r="21" spans="1:4" x14ac:dyDescent="0.35">
      <c r="A21" s="5" t="s">
        <v>39</v>
      </c>
      <c r="B21" s="15">
        <f>B18 * 0.3</f>
        <v>315900</v>
      </c>
      <c r="C21" s="5" t="s">
        <v>30</v>
      </c>
      <c r="D21" s="6" t="s">
        <v>40</v>
      </c>
    </row>
    <row r="22" spans="1:4" x14ac:dyDescent="0.35">
      <c r="A22" s="5" t="s">
        <v>41</v>
      </c>
      <c r="B22" s="15">
        <f>B18 * 0.4</f>
        <v>421200</v>
      </c>
      <c r="C22" s="5" t="s">
        <v>30</v>
      </c>
      <c r="D22" s="6" t="s">
        <v>42</v>
      </c>
    </row>
    <row r="23" spans="1:4" x14ac:dyDescent="0.35">
      <c r="A23" s="5" t="s">
        <v>43</v>
      </c>
      <c r="B23" s="15">
        <f>B18 * 0.3</f>
        <v>315900</v>
      </c>
      <c r="C23" s="5" t="s">
        <v>30</v>
      </c>
      <c r="D23" s="6" t="s">
        <v>44</v>
      </c>
    </row>
  </sheetData>
  <mergeCells count="3">
    <mergeCell ref="A20:D20"/>
    <mergeCell ref="A13:D13"/>
    <mergeCell ref="A1:C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'Lookup Tables'!$A$2:$A$4</xm:f>
          </x14:formula1>
          <xm:sqref>B7</xm:sqref>
        </x14:dataValidation>
        <x14:dataValidation type="list" xr:uid="{00000000-0002-0000-0000-000001000000}">
          <x14:formula1>
            <xm:f>'Lookup Tables'!$D$2:$D$4</xm:f>
          </x14:formula1>
          <xm:sqref>B10</xm:sqref>
        </x14:dataValidation>
        <x14:dataValidation type="list" xr:uid="{00000000-0002-0000-0000-000002000000}">
          <x14:formula1>
            <xm:f>'Lookup Tables'!$G$2:$G$3</xm:f>
          </x14:formula1>
          <xm:sqref>B11</xm:sqref>
        </x14:dataValidation>
        <x14:dataValidation type="list" allowBlank="1" showInputMessage="1" showErrorMessage="1" xr:uid="{F3227BD8-739C-4855-AD95-2F8CD3D190B5}">
          <x14:formula1>
            <xm:f>'Lookup Tables'!$A$7:$A$18</xm:f>
          </x14:formula1>
          <xm:sqref>B5</xm:sqref>
        </x14:dataValidation>
        <x14:dataValidation type="list" allowBlank="1" showInputMessage="1" showErrorMessage="1" xr:uid="{FB19D45F-33F7-43CB-AB5C-3CFB8386EF9B}">
          <x14:formula1>
            <xm:f>'Lookup Tables'!$C$7:$C$17</xm:f>
          </x14:formula1>
          <xm:sqref>B6 B8:B9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topLeftCell="A4" zoomScale="97" workbookViewId="0">
      <selection activeCell="D13" sqref="D13"/>
    </sheetView>
  </sheetViews>
  <sheetFormatPr defaultRowHeight="14.5" x14ac:dyDescent="0.35"/>
  <cols>
    <col min="1" max="1" width="35" customWidth="1"/>
    <col min="2" max="2" width="15" customWidth="1"/>
    <col min="4" max="4" width="28" customWidth="1"/>
    <col min="5" max="5" width="15" customWidth="1"/>
    <col min="7" max="7" width="28" customWidth="1"/>
    <col min="8" max="8" width="15" customWidth="1"/>
  </cols>
  <sheetData>
    <row r="1" spans="1:8" x14ac:dyDescent="0.35">
      <c r="A1" s="16" t="s">
        <v>45</v>
      </c>
      <c r="B1" s="16" t="s">
        <v>46</v>
      </c>
      <c r="D1" s="16" t="s">
        <v>47</v>
      </c>
      <c r="E1" s="16" t="s">
        <v>46</v>
      </c>
      <c r="G1" s="16" t="s">
        <v>48</v>
      </c>
      <c r="H1" s="16" t="s">
        <v>46</v>
      </c>
    </row>
    <row r="2" spans="1:8" x14ac:dyDescent="0.35">
      <c r="A2" t="s">
        <v>49</v>
      </c>
      <c r="B2">
        <v>1</v>
      </c>
      <c r="D2" t="s">
        <v>50</v>
      </c>
      <c r="E2">
        <v>1</v>
      </c>
      <c r="G2" t="s">
        <v>23</v>
      </c>
      <c r="H2">
        <v>1</v>
      </c>
    </row>
    <row r="3" spans="1:8" x14ac:dyDescent="0.35">
      <c r="A3" t="s">
        <v>11</v>
      </c>
      <c r="B3">
        <v>1.4</v>
      </c>
      <c r="D3" t="s">
        <v>20</v>
      </c>
      <c r="E3">
        <v>1.3</v>
      </c>
      <c r="G3" t="s">
        <v>51</v>
      </c>
      <c r="H3">
        <v>1.35</v>
      </c>
    </row>
    <row r="4" spans="1:8" x14ac:dyDescent="0.35">
      <c r="A4" t="s">
        <v>52</v>
      </c>
      <c r="B4">
        <v>2</v>
      </c>
      <c r="D4" t="s">
        <v>53</v>
      </c>
      <c r="E4">
        <v>1.7</v>
      </c>
    </row>
    <row r="7" spans="1:8" x14ac:dyDescent="0.35">
      <c r="A7" s="16" t="s">
        <v>54</v>
      </c>
      <c r="C7" s="16" t="s">
        <v>56</v>
      </c>
    </row>
    <row r="8" spans="1:8" x14ac:dyDescent="0.35">
      <c r="A8" s="18">
        <v>25000</v>
      </c>
      <c r="C8">
        <v>1</v>
      </c>
    </row>
    <row r="9" spans="1:8" x14ac:dyDescent="0.35">
      <c r="A9" s="18">
        <v>30000</v>
      </c>
      <c r="C9">
        <v>2</v>
      </c>
    </row>
    <row r="10" spans="1:8" x14ac:dyDescent="0.35">
      <c r="A10" s="18">
        <v>35000</v>
      </c>
      <c r="C10">
        <v>3</v>
      </c>
    </row>
    <row r="11" spans="1:8" x14ac:dyDescent="0.35">
      <c r="A11" s="18">
        <v>40000</v>
      </c>
      <c r="C11">
        <v>4</v>
      </c>
    </row>
    <row r="12" spans="1:8" x14ac:dyDescent="0.35">
      <c r="A12" s="18">
        <v>45000</v>
      </c>
      <c r="C12">
        <v>5</v>
      </c>
    </row>
    <row r="13" spans="1:8" x14ac:dyDescent="0.35">
      <c r="A13" s="18">
        <v>50000</v>
      </c>
      <c r="C13">
        <v>6</v>
      </c>
    </row>
    <row r="14" spans="1:8" x14ac:dyDescent="0.35">
      <c r="A14" s="18">
        <v>55000</v>
      </c>
      <c r="C14">
        <v>7</v>
      </c>
    </row>
    <row r="15" spans="1:8" x14ac:dyDescent="0.35">
      <c r="A15" s="18">
        <v>60000</v>
      </c>
      <c r="C15">
        <v>8</v>
      </c>
    </row>
    <row r="16" spans="1:8" x14ac:dyDescent="0.35">
      <c r="A16" s="18">
        <v>65000</v>
      </c>
      <c r="C16">
        <v>9</v>
      </c>
    </row>
    <row r="17" spans="1:3" x14ac:dyDescent="0.35">
      <c r="A17" s="18">
        <v>70000</v>
      </c>
      <c r="C17">
        <v>10</v>
      </c>
    </row>
    <row r="18" spans="1:3" x14ac:dyDescent="0.35">
      <c r="A18" s="18">
        <v>75000</v>
      </c>
      <c r="C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Calculator</vt:lpstr>
      <vt:lpstr>Lookup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Ssooraj Rauth</cp:lastModifiedBy>
  <dcterms:created xsi:type="dcterms:W3CDTF">2026-07-22T18:26:25Z</dcterms:created>
  <dcterms:modified xsi:type="dcterms:W3CDTF">2026-07-27T18:28:10Z</dcterms:modified>
</cp:coreProperties>
</file>